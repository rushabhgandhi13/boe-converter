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<sst xmlns="http://schemas.openxmlformats.org/spreadsheetml/2006/main" count="226" uniqueCount="151">
  <si>
    <t>Company name</t>
  </si>
  <si>
    <t>Gemini Unicom LLP</t>
  </si>
  <si>
    <t>Party Name</t>
  </si>
  <si>
    <t>PRAYAN IMPEX COMPANY LIMITED</t>
  </si>
  <si>
    <t>USD Rate</t>
  </si>
  <si>
    <t>Details</t>
  </si>
  <si>
    <t>CO-32 CTN-1357</t>
  </si>
  <si>
    <t>USD Amt</t>
  </si>
  <si>
    <t>Invoice No</t>
  </si>
  <si>
    <t>Inv Date</t>
  </si>
  <si>
    <t>BE No</t>
  </si>
  <si>
    <t>BE Date</t>
  </si>
  <si>
    <t>B/L NO</t>
  </si>
  <si>
    <t>NOSNB26NS10105</t>
  </si>
  <si>
    <t>B/L DATE</t>
  </si>
  <si>
    <t>Eway bill no</t>
  </si>
  <si>
    <t>Eway bill date</t>
  </si>
  <si>
    <t>RETTENCE DATE</t>
  </si>
  <si>
    <t>RETTENCE RATE</t>
  </si>
  <si>
    <t>As Per Tally Accounting</t>
  </si>
  <si>
    <t>In USD</t>
  </si>
  <si>
    <t>Sr. no.</t>
  </si>
  <si>
    <t>PARTY NAME</t>
  </si>
  <si>
    <t>BILLING AMOUNT</t>
  </si>
  <si>
    <t>AS PER TALLY NAME</t>
  </si>
  <si>
    <t>Description</t>
  </si>
  <si>
    <t>HSN CODE</t>
  </si>
  <si>
    <t>CTN</t>
  </si>
  <si>
    <t>QTY</t>
  </si>
  <si>
    <t>Unit</t>
  </si>
  <si>
    <t>pcs</t>
  </si>
  <si>
    <t>Unit Price in USD</t>
  </si>
  <si>
    <t>Amount</t>
  </si>
  <si>
    <t xml:space="preserve">Rate Per USDin purcahse </t>
  </si>
  <si>
    <t>CUSTOM ASS VALUE</t>
  </si>
  <si>
    <t>LAND COST OF PURCHASE WITHOUT GST</t>
  </si>
  <si>
    <t>TOTAL Custom Duty</t>
  </si>
  <si>
    <t>GST</t>
  </si>
  <si>
    <t>RATE OF DUTY IGST</t>
  </si>
  <si>
    <t>total custom duty</t>
  </si>
  <si>
    <t>RATE OF INTEREST</t>
  </si>
  <si>
    <t>CUST AIDC</t>
  </si>
  <si>
    <t>SURCHARGE</t>
  </si>
  <si>
    <t>LAND COST OF PURCHASE WITH GST</t>
  </si>
  <si>
    <t>Ratepurchase per unitPcs/KGS/SET</t>
  </si>
  <si>
    <t>BAG</t>
  </si>
  <si>
    <t>SHOULDER LADIES BAGS(O/T REPUTED BRAND)</t>
  </si>
  <si>
    <t>DOZ</t>
  </si>
  <si>
    <t>ARTIFICIAL FLOWER</t>
  </si>
  <si>
    <t>ARTIFICAL FLOWER(O/T REPUTED BRAND)</t>
  </si>
  <si>
    <t>KGS</t>
  </si>
  <si>
    <t>CLEANING BLADE</t>
  </si>
  <si>
    <t>CLEANING BLADE (COPIER SPARE PARTS)(O/T REPUTED BRAND)</t>
  </si>
  <si>
    <t>Decorative Itemsss</t>
  </si>
  <si>
    <t>DECORATION FOX BALL (O/T REPUTED BRAND)</t>
  </si>
  <si>
    <t>DECORATIVE BANNER</t>
  </si>
  <si>
    <t>DECORATIVE BANNER(O/T REPUTED BRAND)</t>
  </si>
  <si>
    <t>INK</t>
  </si>
  <si>
    <t>DTF INK(O/T REPUTED BRAND)</t>
  </si>
  <si>
    <t>HOT STAMPING FOILL</t>
  </si>
  <si>
    <t>HOT STAMPING FOIL(O/T REPUTED BRAND)</t>
  </si>
  <si>
    <t>KEYCHAIN</t>
  </si>
  <si>
    <t>KEYCHAIN(O/T REPUTED BRAND)</t>
  </si>
  <si>
    <t>OPC DRUM</t>
  </si>
  <si>
    <t>OPC DRUM (COPIER SPARE PARTS)(O/T REPUTED BRAND)</t>
  </si>
  <si>
    <t>PCR</t>
  </si>
  <si>
    <t>PCR (COPIER SPARE PARTS)(O/T REPUTED BRAND)</t>
  </si>
  <si>
    <t>PLASTIC BEADS</t>
  </si>
  <si>
    <t>PLASTIC BEADS(O/T REPUTED BRAND)</t>
  </si>
  <si>
    <t>PLASTIC CAKE TOPPER</t>
  </si>
  <si>
    <t>PLATIC CAKE TOPPER(O/T REPUTED BRAND)</t>
  </si>
  <si>
    <t>PTFE TEFLON TAPE</t>
  </si>
  <si>
    <t>PTFE TEFLON TAPE(O/T REPUTED BRAND)</t>
  </si>
  <si>
    <t>WATCH</t>
  </si>
  <si>
    <t>PU/METAL BELT WRIST WATCH(O/T REPUTED BRAND)</t>
  </si>
  <si>
    <t>TAPE</t>
  </si>
  <si>
    <t>SALO TAPE(O/T REPUTED BRAND)</t>
  </si>
  <si>
    <t>STAPLER PIN</t>
  </si>
  <si>
    <t>STAPLER PIN(O/T REPUTED BRAND)</t>
  </si>
  <si>
    <t>NOS</t>
  </si>
  <si>
    <t>JOURNAL GG(O/T REPUTED BRAND)</t>
  </si>
  <si>
    <t>PCS</t>
  </si>
  <si>
    <t>BOWL</t>
  </si>
  <si>
    <t>BOWL GG(O/T REPUTED BRAND)</t>
  </si>
  <si>
    <t>MASSAGER</t>
  </si>
  <si>
    <t>BACK MASSAGER JP(O/T REPUTED BRAND)</t>
  </si>
  <si>
    <t>WASH BAG SET</t>
  </si>
  <si>
    <t>3pc WASH BAG SET(O/T REPUTED BRAND)</t>
  </si>
  <si>
    <t>WASH BAG DOUBLE ZIPPER(O/T REPUTED BRAND)</t>
  </si>
  <si>
    <t>EMPTY MEDICINE BAG COMBO</t>
  </si>
  <si>
    <t>EMPTY MEDICINE BAG COMBO(O/T REPUTED BRAND)</t>
  </si>
  <si>
    <t>EMPTY OIL DISPENSER GG(O/T REPUTED BRAND)</t>
  </si>
  <si>
    <t>DENTAL KIT ACCESSORY</t>
  </si>
  <si>
    <t>PROSTHETIC KIT (DENTAL KIT ACCESSORY)(O/T REPUTED BRAND)</t>
  </si>
  <si>
    <t>REMOVER PLASTIC KIT (DENTAL KIT ACCESSORY)(O/T REPUTED BRAND)</t>
  </si>
  <si>
    <t>REMOVER STEEL (DENTAL KIT ACCESSORY)(O/T REPUTED BRAND)</t>
  </si>
  <si>
    <t>UNIVERSAL KIT (DENTAL KIT ACCESSORY)(O/T REPUTED BRAND)</t>
  </si>
  <si>
    <t>NEEDLE HOLDER (DENTAL KIT ACCESSORY)(O/T REPUTED BRAND)</t>
  </si>
  <si>
    <t>ZAGMETIC KIT (DENTAL KIT ACCESSORY)(O/T REPUTED BRAND)</t>
  </si>
  <si>
    <t>BENIZ KIT (DENTAL KIT ACCESSORY)(O/T REPUTED BRAND)</t>
  </si>
  <si>
    <t>THREESOLE PIECE (DENTAL KIT ACCESSORY)(O/T REPUTED BRAND)</t>
  </si>
  <si>
    <t>CUTTER PIECE (DENTAL KIT ACCESSORY)(O/T REPUTED BRAND)</t>
  </si>
  <si>
    <t>DISTAL CUTTER PIECE (DENTAL KIT ACCESSORY)(O/T REPUTED BRAND)</t>
  </si>
  <si>
    <t>8PCS TREPHINE (DENTAL KIT ACCESSORY)(O/T REPUTED BRAND)</t>
  </si>
  <si>
    <t>METHIU (DENTAL KIT ACCESSORY)(O/T REPUTED BRAND)</t>
  </si>
  <si>
    <t>29pc DENSAH (DENTAL KIT ACCESSORY)(O/T REPUTED BRAND)</t>
  </si>
  <si>
    <t>LONG + SHORT (DENTAL KIT ACCESSORY)(O/T REPUTED BRAND)</t>
  </si>
  <si>
    <t>IRIS STRAIGHT (DENTAL KIT ACCESSORY)(O/T REPUTED BRAND)</t>
  </si>
  <si>
    <t>IRIS CURVED (DENTAL KIT ACCESSORY)(O/T REPUTED BRAND)</t>
  </si>
  <si>
    <t>5pc TISSUE (DENTAL KIT ACCESSORY)(O/T REPUTED BRAND)</t>
  </si>
  <si>
    <t>7pc ELEVATOR (DENTAL KIT ACCESSORY)(O/T REPUTED BRAND)</t>
  </si>
  <si>
    <t>HAND BRICK (DENTAL KIT ACCESSORY)(O/T REPUTED BRAND)</t>
  </si>
  <si>
    <t>POSITIONING KIT (DENTAL KIT ACCESSORY)(O/T REPUTED BRAND)</t>
  </si>
  <si>
    <t>JAMOUR (DENTAL KIT ACCESSORY)(O/T REPUTED BRAND)</t>
  </si>
  <si>
    <t>EXAMINATION SET OF 4 (DENTAL KIT ACCESSORY)(O/T REPUTED BRAND)</t>
  </si>
  <si>
    <t>FINE</t>
  </si>
  <si>
    <t>total usd</t>
  </si>
  <si>
    <t>DETAILS AS PER CHALLANS</t>
  </si>
  <si>
    <t>DETAILS AS PER TALLY</t>
  </si>
  <si>
    <t>customer and other expenses</t>
  </si>
  <si>
    <t>MARKA</t>
  </si>
  <si>
    <t xml:space="preserve">DATE </t>
  </si>
  <si>
    <t>CHALLAN NO.</t>
  </si>
  <si>
    <t>TAXABLE</t>
  </si>
  <si>
    <t>GST VALUE</t>
  </si>
  <si>
    <t>TOTAL CHALLAN AMT.</t>
  </si>
  <si>
    <t>GST RATE</t>
  </si>
  <si>
    <t>SR NO</t>
  </si>
  <si>
    <t>BILL NO</t>
  </si>
  <si>
    <t>TAXABLE VALUE</t>
  </si>
  <si>
    <t>ROUND OFF</t>
  </si>
  <si>
    <t>TOTAL VALUE</t>
  </si>
  <si>
    <t>IGST</t>
  </si>
  <si>
    <t>C&amp;F AGENCY</t>
  </si>
  <si>
    <t>B/E NO</t>
  </si>
  <si>
    <t>B/E DATE</t>
  </si>
  <si>
    <t xml:space="preserve">BL  NO. </t>
  </si>
  <si>
    <t>BL DATE</t>
  </si>
  <si>
    <t>NET WEIGHT</t>
  </si>
  <si>
    <t>GROSS WEIGHT</t>
  </si>
  <si>
    <t xml:space="preserve">agst bill no </t>
  </si>
  <si>
    <t>INVOICE RATE  IN USD</t>
  </si>
  <si>
    <t>EWAY BILL N0</t>
  </si>
  <si>
    <t>CHA CO NAME</t>
  </si>
  <si>
    <t>remdince rate</t>
  </si>
  <si>
    <t>remdince date</t>
  </si>
  <si>
    <t>CLEARANCE AND FORWARDING INVOICE</t>
  </si>
  <si>
    <t>INVOICE NO</t>
  </si>
  <si>
    <t>NET AMOUNT</t>
  </si>
  <si>
    <t>TDS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</si>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</sst>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dd/mm/yyyy"/>
    <numFmt numFmtId="182" formatCode="0.0"/>
    <numFmt numFmtId="183" formatCode="0.000"/>
    <numFmt numFmtId="184" formatCode="0_);[Red]\(0\)"/>
    <numFmt numFmtId="185" formatCode="_ * #,##0.0000_ ;_ * \-#,##0.0000_ ;_ * &quot;-&quot;??_ ;_ @_ "/>
    <numFmt numFmtId="186" formatCode="_-* #,##0.00_-;\-* #,##0.00_-;_-* &quot;-&quot;??_-;_-@_-"/>
    <numFmt numFmtId="187" formatCode="[$-809]dd\ mmmm\ yyyy;@"/>
    <numFmt numFmtId="188" formatCode="dd/mmm/yy"/>
    <numFmt numFmtId="189" formatCode="dd/mm/yyyy;@"/>
  </numFmts>
  <fonts count="50">
    <font>
      <sz val="12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5"/>
      <color rgb="FFC55F10"/>
      <name val="Calibri"/>
      <charset val="134"/>
    </font>
    <font>
      <b/>
      <sz val="16"/>
      <color theme="1"/>
      <name val="Calibri"/>
      <charset val="134"/>
    </font>
    <font>
      <b/>
      <sz val="15"/>
      <color theme="1"/>
      <name val="Calibri"/>
      <charset val="134"/>
    </font>
    <font>
      <b/>
      <sz val="15"/>
      <color theme="5" tint="-0.249977111117893"/>
      <name val="Calibri"/>
      <charset val="134"/>
    </font>
    <font>
      <sz val="11"/>
      <color rgb="FF0070C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i/>
      <sz val="11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4"/>
      <color theme="1"/>
      <name val="Calibri"/>
      <charset val="134"/>
    </font>
    <font>
      <sz val="11"/>
      <color theme="1"/>
      <name val="Arial"/>
      <charset val="134"/>
    </font>
    <font>
      <sz val="14"/>
      <name val="Calibri"/>
      <charset val="134"/>
    </font>
    <font>
      <sz val="14"/>
      <name val="Calibri"/>
      <charset val="134"/>
      <scheme val="minor"/>
    </font>
    <font>
      <sz val="14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b/>
      <sz val="10"/>
      <color theme="1"/>
      <name val="Cambria"/>
      <charset val="134"/>
    </font>
    <font>
      <b/>
      <sz val="10"/>
      <color rgb="FF0070C0"/>
      <name val="Calibri"/>
      <charset val="134"/>
      <scheme val="minor"/>
    </font>
    <font>
      <sz val="11"/>
      <color rgb="FF171717"/>
      <name val="Consolas"/>
      <charset val="134"/>
    </font>
    <font>
      <sz val="10"/>
      <name val="Calibri"/>
      <charset val="134"/>
      <scheme val="minor"/>
    </font>
    <font>
      <sz val="10"/>
      <color rgb="FF0070C0"/>
      <name val="Calibri"/>
      <charset val="134"/>
      <scheme val="minor"/>
    </font>
    <font>
      <sz val="11"/>
      <color theme="1"/>
      <name val="Calibri"/>
      <charset val="134"/>
    </font>
    <font>
      <sz val="11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lightGray">
        <fgColor theme="4" tint="0.399029511398663"/>
        <bgColor theme="8" tint="0.399182103946043"/>
      </patternFill>
    </fill>
    <fill>
      <patternFill patternType="solid">
        <fgColor theme="8" tint="0.399304177983947"/>
        <bgColor theme="4" tint="0.399029511398663"/>
      </patternFill>
    </fill>
    <fill>
      <patternFill patternType="solid">
        <fgColor theme="8" tint="0.399182103946043"/>
        <bgColor theme="4" tint="0.399029511398663"/>
      </patternFill>
    </fill>
    <fill>
      <patternFill patternType="solid">
        <fgColor theme="8" tint="0.399182103946043"/>
        <bgColor indexed="64"/>
      </patternFill>
    </fill>
    <fill>
      <patternFill patternType="lightGray">
        <fgColor theme="4" tint="0.399029511398663"/>
        <bgColor theme="8" tint="0.399304177983947"/>
      </patternFill>
    </fill>
    <fill>
      <patternFill patternType="darkGrid">
        <fgColor theme="4" tint="0.599993896298105"/>
        <bgColor theme="4" tint="0.39902951139866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2" borderId="2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24" applyNumberFormat="0" applyAlignment="0" applyProtection="0">
      <alignment vertical="center"/>
    </xf>
    <xf numFmtId="0" fontId="40" fillId="14" borderId="25" applyNumberFormat="0" applyAlignment="0" applyProtection="0">
      <alignment vertical="center"/>
    </xf>
    <xf numFmtId="0" fontId="41" fillId="14" borderId="24" applyNumberFormat="0" applyAlignment="0" applyProtection="0">
      <alignment vertical="center"/>
    </xf>
    <xf numFmtId="0" fontId="42" fillId="15" borderId="26" applyNumberFormat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4" fillId="0" borderId="28" applyNumberFormat="0" applyFill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30" fillId="0" borderId="0"/>
  </cellStyleXfs>
  <cellXfs count="215">
    <xf numFmtId="0" fontId="0" fillId="0" borderId="0" xfId="0">
      <alignment vertical="center"/>
    </xf>
    <xf numFmtId="0" fontId="1" fillId="0" borderId="0" xfId="49" applyFont="1">
      <alignment vertical="center"/>
    </xf>
    <xf numFmtId="0" fontId="2" fillId="0" borderId="0" xfId="49">
      <alignment vertical="center"/>
    </xf>
    <xf numFmtId="0" fontId="2" fillId="0" borderId="0" xfId="49" applyAlignment="1">
      <alignment vertical="top"/>
    </xf>
    <xf numFmtId="0" fontId="3" fillId="0" borderId="0" xfId="49" applyFont="1">
      <alignment vertical="center"/>
    </xf>
    <xf numFmtId="0" fontId="4" fillId="0" borderId="0" xfId="49" applyFont="1">
      <alignment vertical="center"/>
    </xf>
    <xf numFmtId="176" fontId="4" fillId="0" borderId="0" xfId="50" applyFont="1">
      <alignment vertical="center"/>
    </xf>
    <xf numFmtId="180" fontId="4" fillId="0" borderId="0" xfId="1" applyNumberFormat="1" applyFont="1" applyFill="1" applyBorder="1" applyAlignment="1" applyProtection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1" fillId="0" borderId="0" xfId="50" applyFont="1">
      <alignment vertical="center"/>
    </xf>
    <xf numFmtId="180" fontId="1" fillId="0" borderId="0" xfId="1" applyNumberFormat="1" applyFont="1" applyFill="1" applyBorder="1" applyAlignment="1" applyProtection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81" fontId="7" fillId="2" borderId="6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181" fontId="7" fillId="2" borderId="10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9" fillId="4" borderId="0" xfId="49" applyFont="1" applyFill="1" applyAlignment="1">
      <alignment horizontal="center"/>
    </xf>
    <xf numFmtId="0" fontId="9" fillId="5" borderId="12" xfId="49" applyFont="1" applyFill="1" applyBorder="1" applyAlignment="1">
      <alignment horizontal="center"/>
    </xf>
    <xf numFmtId="0" fontId="9" fillId="6" borderId="0" xfId="49" applyFont="1" applyFill="1" applyAlignment="1">
      <alignment horizontal="center"/>
    </xf>
    <xf numFmtId="0" fontId="2" fillId="7" borderId="0" xfId="49" applyFill="1" applyAlignment="1">
      <alignment horizontal="center"/>
    </xf>
    <xf numFmtId="176" fontId="2" fillId="7" borderId="0" xfId="50" applyFont="1" applyFill="1" applyAlignment="1">
      <alignment horizontal="center"/>
    </xf>
    <xf numFmtId="0" fontId="9" fillId="8" borderId="0" xfId="49" applyFont="1" applyFill="1" applyAlignment="1"/>
    <xf numFmtId="180" fontId="9" fillId="8" borderId="0" xfId="1" applyNumberFormat="1" applyFont="1" applyFill="1" applyBorder="1" applyAlignment="1" applyProtection="1"/>
    <xf numFmtId="0" fontId="2" fillId="0" borderId="0" xfId="49" applyAlignment="1"/>
    <xf numFmtId="0" fontId="2" fillId="0" borderId="0" xfId="49" applyAlignment="1">
      <alignment horizontal="center"/>
    </xf>
    <xf numFmtId="176" fontId="2" fillId="0" borderId="0" xfId="50" applyFont="1" applyAlignment="1"/>
    <xf numFmtId="180" fontId="2" fillId="0" borderId="0" xfId="1" applyNumberFormat="1" applyFont="1" applyFill="1" applyBorder="1" applyAlignment="1" applyProtection="1"/>
    <xf numFmtId="1" fontId="10" fillId="0" borderId="13" xfId="51" applyNumberFormat="1" applyFont="1" applyBorder="1"/>
    <xf numFmtId="1" fontId="10" fillId="0" borderId="13" xfId="51" applyNumberFormat="1" applyFont="1" applyBorder="1" applyAlignment="1">
      <alignment horizontal="center"/>
    </xf>
    <xf numFmtId="2" fontId="10" fillId="0" borderId="13" xfId="51" applyNumberFormat="1" applyFont="1" applyBorder="1"/>
    <xf numFmtId="182" fontId="10" fillId="0" borderId="13" xfId="51" applyNumberFormat="1" applyFont="1" applyBorder="1" applyAlignment="1">
      <alignment horizontal="center" vertical="center"/>
    </xf>
    <xf numFmtId="2" fontId="10" fillId="0" borderId="13" xfId="51" applyNumberFormat="1" applyFont="1" applyBorder="1" applyAlignment="1">
      <alignment horizontal="center"/>
    </xf>
    <xf numFmtId="2" fontId="11" fillId="0" borderId="13" xfId="51" applyNumberFormat="1" applyFont="1" applyBorder="1" applyAlignment="1">
      <alignment horizontal="center"/>
    </xf>
    <xf numFmtId="176" fontId="10" fillId="0" borderId="13" xfId="50" applyFont="1" applyBorder="1" applyAlignment="1">
      <alignment horizontal="center"/>
    </xf>
    <xf numFmtId="180" fontId="10" fillId="0" borderId="13" xfId="1" applyNumberFormat="1" applyFont="1" applyFill="1" applyBorder="1" applyAlignment="1" applyProtection="1"/>
    <xf numFmtId="2" fontId="12" fillId="9" borderId="13" xfId="51" applyNumberFormat="1" applyFont="1" applyFill="1" applyBorder="1" applyAlignment="1">
      <alignment horizontal="center" vertical="top" wrapText="1"/>
    </xf>
    <xf numFmtId="2" fontId="12" fillId="9" borderId="14" xfId="51" applyNumberFormat="1" applyFont="1" applyFill="1" applyBorder="1" applyAlignment="1">
      <alignment horizontal="center" vertical="top" wrapText="1"/>
    </xf>
    <xf numFmtId="1" fontId="12" fillId="9" borderId="13" xfId="51" applyNumberFormat="1" applyFont="1" applyFill="1" applyBorder="1" applyAlignment="1">
      <alignment horizontal="center" vertical="top" wrapText="1"/>
    </xf>
    <xf numFmtId="1" fontId="12" fillId="9" borderId="13" xfId="51" applyNumberFormat="1" applyFont="1" applyFill="1" applyBorder="1" applyAlignment="1">
      <alignment horizontal="center" vertical="top"/>
    </xf>
    <xf numFmtId="182" fontId="12" fillId="9" borderId="13" xfId="51" applyNumberFormat="1" applyFont="1" applyFill="1" applyBorder="1" applyAlignment="1">
      <alignment horizontal="center" vertical="top" wrapText="1"/>
    </xf>
    <xf numFmtId="176" fontId="12" fillId="9" borderId="13" xfId="1" applyFont="1" applyFill="1" applyBorder="1" applyAlignment="1">
      <alignment horizontal="center" vertical="top" wrapText="1"/>
    </xf>
    <xf numFmtId="2" fontId="12" fillId="9" borderId="13" xfId="51" applyNumberFormat="1" applyFont="1" applyFill="1" applyBorder="1" applyAlignment="1">
      <alignment vertical="top" wrapText="1"/>
    </xf>
    <xf numFmtId="176" fontId="12" fillId="9" borderId="13" xfId="50" applyFont="1" applyFill="1" applyBorder="1" applyAlignment="1">
      <alignment horizontal="center" vertical="top" wrapText="1"/>
    </xf>
    <xf numFmtId="180" fontId="2" fillId="0" borderId="0" xfId="1" applyNumberFormat="1" applyFont="1" applyFill="1" applyBorder="1" applyAlignment="1" applyProtection="1">
      <alignment vertical="center"/>
    </xf>
    <xf numFmtId="1" fontId="13" fillId="0" borderId="15" xfId="51" applyNumberFormat="1" applyFont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 readingOrder="1"/>
    </xf>
    <xf numFmtId="0" fontId="15" fillId="0" borderId="13" xfId="0" applyFont="1" applyFill="1" applyBorder="1" applyAlignment="1">
      <alignment vertical="center" wrapText="1" readingOrder="1"/>
    </xf>
    <xf numFmtId="0" fontId="3" fillId="0" borderId="16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/>
    <xf numFmtId="0" fontId="3" fillId="0" borderId="13" xfId="0" applyFont="1" applyFill="1" applyBorder="1" applyAlignment="1">
      <alignment horizontal="center" vertical="center"/>
    </xf>
    <xf numFmtId="0" fontId="3" fillId="0" borderId="13" xfId="49" applyFont="1" applyBorder="1" applyAlignment="1">
      <alignment horizontal="center" vertical="center"/>
    </xf>
    <xf numFmtId="176" fontId="16" fillId="0" borderId="13" xfId="1" applyFont="1" applyFill="1" applyBorder="1" applyAlignment="1" applyProtection="1">
      <alignment horizontal="center" vertical="center" wrapText="1"/>
    </xf>
    <xf numFmtId="2" fontId="17" fillId="0" borderId="13" xfId="51" applyNumberFormat="1" applyFont="1" applyBorder="1" applyAlignment="1">
      <alignment horizontal="center" vertical="center" wrapText="1"/>
    </xf>
    <xf numFmtId="0" fontId="16" fillId="0" borderId="13" xfId="1" applyNumberFormat="1" applyFont="1" applyFill="1" applyBorder="1" applyAlignment="1" applyProtection="1">
      <alignment horizontal="center" vertical="center" wrapText="1"/>
    </xf>
    <xf numFmtId="2" fontId="17" fillId="10" borderId="13" xfId="51" applyNumberFormat="1" applyFont="1" applyFill="1" applyBorder="1" applyAlignment="1">
      <alignment horizontal="center" vertical="center" wrapText="1"/>
    </xf>
    <xf numFmtId="2" fontId="17" fillId="0" borderId="13" xfId="1" applyNumberFormat="1" applyFont="1" applyBorder="1" applyAlignment="1">
      <alignment horizontal="center" vertical="center" wrapText="1"/>
    </xf>
    <xf numFmtId="0" fontId="17" fillId="0" borderId="13" xfId="1" applyNumberFormat="1" applyFont="1" applyBorder="1" applyAlignment="1">
      <alignment horizontal="center" vertical="center" wrapText="1"/>
    </xf>
    <xf numFmtId="9" fontId="17" fillId="0" borderId="13" xfId="1" applyNumberFormat="1" applyFont="1" applyBorder="1" applyAlignment="1">
      <alignment horizontal="center" vertical="center" wrapText="1"/>
    </xf>
    <xf numFmtId="176" fontId="17" fillId="0" borderId="13" xfId="1" applyFont="1" applyFill="1" applyBorder="1" applyAlignment="1">
      <alignment horizontal="center" vertical="center" wrapText="1"/>
    </xf>
    <xf numFmtId="9" fontId="17" fillId="0" borderId="13" xfId="52" applyFont="1" applyBorder="1" applyAlignment="1">
      <alignment horizontal="center" vertical="center" wrapText="1"/>
    </xf>
    <xf numFmtId="2" fontId="17" fillId="0" borderId="13" xfId="1" applyNumberFormat="1" applyFont="1" applyBorder="1" applyAlignment="1">
      <alignment horizontal="center" vertical="center"/>
    </xf>
    <xf numFmtId="0" fontId="2" fillId="0" borderId="0" xfId="0" applyFont="1" applyFill="1" applyAlignment="1"/>
    <xf numFmtId="180" fontId="3" fillId="0" borderId="0" xfId="1" applyNumberFormat="1" applyFont="1" applyFill="1" applyBorder="1" applyAlignment="1" applyProtection="1">
      <alignment vertical="center"/>
    </xf>
    <xf numFmtId="183" fontId="3" fillId="0" borderId="0" xfId="49" applyNumberFormat="1" applyFont="1">
      <alignment vertical="center"/>
    </xf>
    <xf numFmtId="2" fontId="3" fillId="0" borderId="0" xfId="49" applyNumberFormat="1" applyFont="1">
      <alignment vertical="center"/>
    </xf>
    <xf numFmtId="1" fontId="3" fillId="0" borderId="0" xfId="49" applyNumberFormat="1" applyFont="1">
      <alignment vertical="center"/>
    </xf>
    <xf numFmtId="0" fontId="18" fillId="0" borderId="13" xfId="0" applyFont="1" applyFill="1" applyBorder="1" applyAlignment="1">
      <alignment vertical="center" wrapText="1" readingOrder="1"/>
    </xf>
    <xf numFmtId="0" fontId="15" fillId="0" borderId="13" xfId="0" applyFont="1" applyFill="1" applyBorder="1" applyAlignment="1">
      <alignment horizontal="center" wrapText="1" readingOrder="1"/>
    </xf>
    <xf numFmtId="10" fontId="17" fillId="0" borderId="13" xfId="1" applyNumberFormat="1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1" fontId="17" fillId="0" borderId="13" xfId="51" applyNumberFormat="1" applyFont="1" applyBorder="1" applyAlignment="1">
      <alignment horizontal="center" vertical="center" wrapText="1"/>
    </xf>
    <xf numFmtId="1" fontId="17" fillId="0" borderId="16" xfId="51" applyNumberFormat="1" applyFont="1" applyBorder="1" applyAlignment="1">
      <alignment horizontal="center" vertical="center" wrapText="1"/>
    </xf>
    <xf numFmtId="0" fontId="17" fillId="0" borderId="13" xfId="49" applyFont="1" applyBorder="1" applyAlignment="1"/>
    <xf numFmtId="1" fontId="17" fillId="0" borderId="13" xfId="49" applyNumberFormat="1" applyFont="1" applyBorder="1" applyAlignment="1">
      <alignment horizontal="center" vertical="center"/>
    </xf>
    <xf numFmtId="0" fontId="17" fillId="0" borderId="13" xfId="49" applyFont="1" applyBorder="1" applyAlignment="1">
      <alignment horizontal="center" vertical="center"/>
    </xf>
    <xf numFmtId="176" fontId="17" fillId="0" borderId="13" xfId="1" applyFont="1" applyBorder="1" applyAlignment="1">
      <alignment horizontal="center" vertical="center" wrapText="1"/>
    </xf>
    <xf numFmtId="2" fontId="17" fillId="0" borderId="13" xfId="49" applyNumberFormat="1" applyFont="1" applyBorder="1" applyAlignment="1">
      <alignment horizontal="center" vertical="center"/>
    </xf>
    <xf numFmtId="2" fontId="17" fillId="0" borderId="13" xfId="51" applyNumberFormat="1" applyFont="1" applyBorder="1" applyAlignment="1">
      <alignment horizontal="right" vertical="top" wrapText="1"/>
    </xf>
    <xf numFmtId="2" fontId="17" fillId="0" borderId="13" xfId="50" applyNumberFormat="1" applyFont="1" applyBorder="1" applyAlignment="1"/>
    <xf numFmtId="10" fontId="17" fillId="0" borderId="13" xfId="51" applyNumberFormat="1" applyFont="1" applyBorder="1" applyAlignment="1">
      <alignment horizontal="center" vertical="top" wrapText="1"/>
    </xf>
    <xf numFmtId="2" fontId="17" fillId="0" borderId="13" xfId="49" applyNumberFormat="1" applyFont="1" applyBorder="1" applyAlignment="1"/>
    <xf numFmtId="2" fontId="17" fillId="0" borderId="13" xfId="51" applyNumberFormat="1" applyFont="1" applyBorder="1" applyAlignment="1">
      <alignment horizontal="center" vertical="top" wrapText="1"/>
    </xf>
    <xf numFmtId="9" fontId="17" fillId="0" borderId="13" xfId="52" applyFont="1" applyBorder="1" applyAlignment="1">
      <alignment horizontal="center" vertical="center"/>
    </xf>
    <xf numFmtId="0" fontId="17" fillId="0" borderId="13" xfId="52" applyNumberFormat="1" applyFont="1" applyBorder="1" applyAlignment="1">
      <alignment horizontal="center" vertical="center" wrapText="1"/>
    </xf>
    <xf numFmtId="2" fontId="17" fillId="0" borderId="13" xfId="52" applyNumberFormat="1" applyFont="1" applyBorder="1" applyAlignment="1">
      <alignment horizontal="right" vertical="top" wrapText="1"/>
    </xf>
    <xf numFmtId="0" fontId="3" fillId="0" borderId="15" xfId="49" applyFont="1" applyBorder="1" applyAlignment="1"/>
    <xf numFmtId="1" fontId="3" fillId="0" borderId="13" xfId="51" applyNumberFormat="1" applyFont="1" applyBorder="1" applyAlignment="1">
      <alignment horizontal="center"/>
    </xf>
    <xf numFmtId="1" fontId="3" fillId="0" borderId="16" xfId="51" applyNumberFormat="1" applyFont="1" applyBorder="1" applyAlignment="1">
      <alignment horizontal="center"/>
    </xf>
    <xf numFmtId="0" fontId="3" fillId="0" borderId="13" xfId="49" applyFont="1" applyBorder="1" applyAlignment="1"/>
    <xf numFmtId="0" fontId="19" fillId="0" borderId="13" xfId="51" applyFont="1" applyBorder="1" applyAlignment="1">
      <alignment horizontal="center" vertical="center"/>
    </xf>
    <xf numFmtId="184" fontId="3" fillId="0" borderId="13" xfId="53" applyNumberFormat="1" applyFont="1" applyBorder="1" applyAlignment="1">
      <alignment horizontal="center" vertical="center"/>
    </xf>
    <xf numFmtId="176" fontId="3" fillId="0" borderId="13" xfId="1" applyFont="1" applyBorder="1" applyAlignment="1">
      <alignment horizontal="center" vertical="center"/>
    </xf>
    <xf numFmtId="0" fontId="3" fillId="0" borderId="13" xfId="51" applyFont="1" applyBorder="1" applyAlignment="1">
      <alignment horizontal="center" vertical="center"/>
    </xf>
    <xf numFmtId="2" fontId="19" fillId="0" borderId="13" xfId="51" applyNumberFormat="1" applyFont="1" applyBorder="1" applyAlignment="1">
      <alignment horizontal="center" vertical="center"/>
    </xf>
    <xf numFmtId="2" fontId="19" fillId="0" borderId="13" xfId="51" applyNumberFormat="1" applyFont="1" applyBorder="1"/>
    <xf numFmtId="2" fontId="3" fillId="0" borderId="13" xfId="50" applyNumberFormat="1" applyFont="1" applyBorder="1" applyAlignment="1"/>
    <xf numFmtId="0" fontId="19" fillId="0" borderId="13" xfId="51" applyFont="1" applyBorder="1"/>
    <xf numFmtId="1" fontId="19" fillId="0" borderId="13" xfId="51" applyNumberFormat="1" applyFont="1" applyBorder="1" applyAlignment="1">
      <alignment horizontal="center" vertical="center"/>
    </xf>
    <xf numFmtId="176" fontId="19" fillId="10" borderId="13" xfId="1" applyFont="1" applyFill="1" applyBorder="1" applyAlignment="1">
      <alignment horizontal="center" vertical="center"/>
    </xf>
    <xf numFmtId="2" fontId="19" fillId="10" borderId="13" xfId="51" applyNumberFormat="1" applyFont="1" applyFill="1" applyBorder="1" applyAlignment="1">
      <alignment horizontal="center" vertical="center"/>
    </xf>
    <xf numFmtId="2" fontId="19" fillId="0" borderId="13" xfId="51" applyNumberFormat="1" applyFont="1" applyBorder="1" applyAlignment="1">
      <alignment vertical="center"/>
    </xf>
    <xf numFmtId="2" fontId="19" fillId="10" borderId="13" xfId="50" applyNumberFormat="1" applyFont="1" applyFill="1" applyBorder="1" applyAlignment="1">
      <alignment vertical="center"/>
    </xf>
    <xf numFmtId="0" fontId="19" fillId="0" borderId="13" xfId="49" applyFont="1" applyBorder="1" applyAlignment="1"/>
    <xf numFmtId="2" fontId="19" fillId="10" borderId="13" xfId="51" applyNumberFormat="1" applyFont="1" applyFill="1" applyBorder="1" applyAlignment="1">
      <alignment vertical="center"/>
    </xf>
    <xf numFmtId="0" fontId="1" fillId="0" borderId="0" xfId="49" applyFont="1" applyAlignment="1"/>
    <xf numFmtId="1" fontId="1" fillId="0" borderId="0" xfId="51" applyNumberFormat="1" applyFont="1" applyAlignment="1">
      <alignment horizontal="center"/>
    </xf>
    <xf numFmtId="0" fontId="1" fillId="0" borderId="0" xfId="0" applyFont="1" applyFill="1" applyAlignment="1"/>
    <xf numFmtId="0" fontId="20" fillId="0" borderId="0" xfId="51" applyFont="1" applyAlignment="1">
      <alignment horizontal="center"/>
    </xf>
    <xf numFmtId="0" fontId="20" fillId="0" borderId="0" xfId="51" applyFont="1"/>
    <xf numFmtId="185" fontId="1" fillId="0" borderId="0" xfId="1" applyNumberFormat="1" applyFont="1">
      <alignment vertical="center"/>
    </xf>
    <xf numFmtId="186" fontId="1" fillId="0" borderId="0" xfId="51" applyNumberFormat="1" applyFont="1" applyAlignment="1">
      <alignment vertical="center"/>
    </xf>
    <xf numFmtId="2" fontId="20" fillId="0" borderId="0" xfId="51" applyNumberFormat="1" applyFont="1"/>
    <xf numFmtId="2" fontId="20" fillId="0" borderId="0" xfId="50" applyNumberFormat="1" applyFont="1" applyFill="1" applyAlignment="1"/>
    <xf numFmtId="0" fontId="4" fillId="0" borderId="0" xfId="49" applyFont="1" applyAlignment="1"/>
    <xf numFmtId="0" fontId="4" fillId="0" borderId="0" xfId="49" applyFont="1" applyAlignment="1">
      <alignment horizontal="center"/>
    </xf>
    <xf numFmtId="2" fontId="4" fillId="0" borderId="0" xfId="49" applyNumberFormat="1" applyFont="1" applyAlignment="1"/>
    <xf numFmtId="176" fontId="4" fillId="0" borderId="0" xfId="51" applyNumberFormat="1" applyFont="1" applyAlignment="1">
      <alignment vertical="center"/>
    </xf>
    <xf numFmtId="176" fontId="4" fillId="0" borderId="0" xfId="50" applyFont="1" applyAlignment="1"/>
    <xf numFmtId="180" fontId="4" fillId="0" borderId="0" xfId="1" applyNumberFormat="1" applyFont="1" applyFill="1" applyBorder="1" applyAlignment="1" applyProtection="1"/>
    <xf numFmtId="2" fontId="4" fillId="0" borderId="0" xfId="49" applyNumberFormat="1" applyFont="1">
      <alignment vertical="center"/>
    </xf>
    <xf numFmtId="187" fontId="21" fillId="0" borderId="0" xfId="51" applyNumberFormat="1" applyFont="1" applyAlignment="1">
      <alignment horizontal="center"/>
    </xf>
    <xf numFmtId="2" fontId="22" fillId="0" borderId="0" xfId="49" applyNumberFormat="1" applyFont="1" applyAlignment="1"/>
    <xf numFmtId="0" fontId="22" fillId="0" borderId="0" xfId="49" applyFont="1" applyAlignment="1"/>
    <xf numFmtId="2" fontId="22" fillId="0" borderId="0" xfId="51" applyNumberFormat="1" applyFont="1" applyAlignment="1">
      <alignment vertical="center"/>
    </xf>
    <xf numFmtId="176" fontId="22" fillId="0" borderId="0" xfId="51" applyNumberFormat="1" applyFont="1" applyAlignment="1">
      <alignment vertical="center"/>
    </xf>
    <xf numFmtId="176" fontId="22" fillId="0" borderId="0" xfId="50" applyFont="1" applyAlignment="1"/>
    <xf numFmtId="180" fontId="22" fillId="0" borderId="0" xfId="1" applyNumberFormat="1" applyFont="1" applyFill="1" applyBorder="1" applyAlignment="1" applyProtection="1"/>
    <xf numFmtId="2" fontId="23" fillId="0" borderId="0" xfId="49" applyNumberFormat="1" applyFont="1">
      <alignment vertical="center"/>
    </xf>
    <xf numFmtId="0" fontId="4" fillId="0" borderId="0" xfId="51" applyFont="1" applyAlignment="1">
      <alignment vertical="center"/>
    </xf>
    <xf numFmtId="0" fontId="4" fillId="0" borderId="13" xfId="51" applyFont="1" applyBorder="1" applyAlignment="1">
      <alignment horizontal="left"/>
    </xf>
    <xf numFmtId="2" fontId="4" fillId="0" borderId="13" xfId="51" applyNumberFormat="1" applyFont="1" applyBorder="1" applyAlignment="1">
      <alignment vertical="center"/>
    </xf>
    <xf numFmtId="0" fontId="21" fillId="11" borderId="13" xfId="51" applyFont="1" applyFill="1" applyBorder="1" applyAlignment="1">
      <alignment horizontal="center" vertical="center"/>
    </xf>
    <xf numFmtId="0" fontId="21" fillId="11" borderId="15" xfId="51" applyFont="1" applyFill="1" applyBorder="1" applyAlignment="1">
      <alignment horizontal="center" vertical="center"/>
    </xf>
    <xf numFmtId="0" fontId="21" fillId="11" borderId="19" xfId="51" applyFont="1" applyFill="1" applyBorder="1" applyAlignment="1">
      <alignment horizontal="center" vertical="center"/>
    </xf>
    <xf numFmtId="0" fontId="21" fillId="11" borderId="16" xfId="51" applyFont="1" applyFill="1" applyBorder="1" applyAlignment="1">
      <alignment horizontal="center" vertical="center"/>
    </xf>
    <xf numFmtId="0" fontId="21" fillId="0" borderId="0" xfId="51" applyFont="1" applyAlignment="1">
      <alignment horizontal="center" vertical="center"/>
    </xf>
    <xf numFmtId="180" fontId="23" fillId="0" borderId="0" xfId="1" applyNumberFormat="1" applyFont="1" applyFill="1" applyBorder="1" applyAlignment="1" applyProtection="1"/>
    <xf numFmtId="0" fontId="4" fillId="0" borderId="13" xfId="51" applyFont="1" applyBorder="1" applyAlignment="1">
      <alignment horizontal="centerContinuous"/>
    </xf>
    <xf numFmtId="1" fontId="4" fillId="0" borderId="13" xfId="51" applyNumberFormat="1" applyFont="1" applyBorder="1" applyAlignment="1">
      <alignment horizontal="centerContinuous"/>
    </xf>
    <xf numFmtId="0" fontId="24" fillId="10" borderId="13" xfId="49" applyFont="1" applyFill="1" applyBorder="1" applyAlignment="1">
      <alignment horizontal="center" vertical="center"/>
    </xf>
    <xf numFmtId="0" fontId="24" fillId="10" borderId="13" xfId="51" applyFont="1" applyFill="1" applyBorder="1" applyAlignment="1">
      <alignment horizontal="center" vertical="center"/>
    </xf>
    <xf numFmtId="2" fontId="24" fillId="10" borderId="13" xfId="51" applyNumberFormat="1" applyFont="1" applyFill="1" applyBorder="1" applyAlignment="1">
      <alignment horizontal="center" vertical="center"/>
    </xf>
    <xf numFmtId="0" fontId="24" fillId="10" borderId="14" xfId="49" applyFont="1" applyFill="1" applyBorder="1" applyAlignment="1">
      <alignment horizontal="center" vertical="center"/>
    </xf>
    <xf numFmtId="9" fontId="24" fillId="10" borderId="14" xfId="52" applyFont="1" applyFill="1" applyBorder="1" applyAlignment="1">
      <alignment horizontal="center" vertical="center"/>
    </xf>
    <xf numFmtId="2" fontId="24" fillId="10" borderId="14" xfId="51" applyNumberFormat="1" applyFont="1" applyFill="1" applyBorder="1" applyAlignment="1">
      <alignment horizontal="center" vertical="center"/>
    </xf>
    <xf numFmtId="2" fontId="4" fillId="0" borderId="13" xfId="51" applyNumberFormat="1" applyFont="1" applyBorder="1"/>
    <xf numFmtId="0" fontId="4" fillId="0" borderId="15" xfId="49" applyFont="1" applyBorder="1" applyAlignment="1">
      <alignment horizontal="right"/>
    </xf>
    <xf numFmtId="0" fontId="4" fillId="0" borderId="13" xfId="49" applyFont="1" applyBorder="1" applyAlignment="1">
      <alignment horizontal="right"/>
    </xf>
    <xf numFmtId="0" fontId="4" fillId="0" borderId="13" xfId="49" applyFont="1" applyBorder="1" applyAlignment="1">
      <alignment horizontal="center" vertical="center"/>
    </xf>
    <xf numFmtId="0" fontId="4" fillId="0" borderId="13" xfId="49" applyFont="1" applyBorder="1">
      <alignment vertical="center"/>
    </xf>
    <xf numFmtId="0" fontId="25" fillId="0" borderId="13" xfId="0" applyFont="1" applyFill="1" applyBorder="1" applyAlignment="1">
      <alignment horizontal="center"/>
    </xf>
    <xf numFmtId="188" fontId="2" fillId="0" borderId="13" xfId="0" applyNumberFormat="1" applyFont="1" applyFill="1" applyBorder="1" applyAlignment="1">
      <alignment vertical="center"/>
    </xf>
    <xf numFmtId="4" fontId="2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176" fontId="4" fillId="0" borderId="13" xfId="49" applyNumberFormat="1" applyFont="1" applyBorder="1" applyAlignment="1">
      <alignment horizontal="center" vertical="center"/>
    </xf>
    <xf numFmtId="0" fontId="26" fillId="0" borderId="0" xfId="53" applyFont="1" applyAlignment="1">
      <alignment horizontal="center" vertical="center"/>
    </xf>
    <xf numFmtId="0" fontId="4" fillId="0" borderId="0" xfId="49" applyFont="1" applyAlignment="1">
      <alignment horizontal="left" vertical="center"/>
    </xf>
    <xf numFmtId="0" fontId="4" fillId="0" borderId="0" xfId="49" applyFont="1" applyAlignment="1">
      <alignment horizontal="center" vertical="center"/>
    </xf>
    <xf numFmtId="181" fontId="4" fillId="0" borderId="0" xfId="49" applyNumberFormat="1" applyFont="1" applyAlignment="1">
      <alignment horizontal="center" vertical="center"/>
    </xf>
    <xf numFmtId="176" fontId="4" fillId="0" borderId="0" xfId="49" applyNumberFormat="1" applyFont="1" applyAlignment="1">
      <alignment horizontal="center" vertical="center"/>
    </xf>
    <xf numFmtId="176" fontId="27" fillId="0" borderId="0" xfId="49" applyNumberFormat="1" applyFont="1" applyAlignment="1">
      <alignment horizontal="center" vertical="center"/>
    </xf>
    <xf numFmtId="9" fontId="4" fillId="0" borderId="0" xfId="49" applyNumberFormat="1" applyFont="1" applyAlignment="1">
      <alignment horizontal="center" vertical="center"/>
    </xf>
    <xf numFmtId="1" fontId="4" fillId="0" borderId="13" xfId="51" applyNumberFormat="1" applyFont="1" applyBorder="1"/>
    <xf numFmtId="0" fontId="25" fillId="0" borderId="13" xfId="0" applyFont="1" applyFill="1" applyBorder="1" applyAlignment="1">
      <alignment horizontal="center" wrapText="1"/>
    </xf>
    <xf numFmtId="181" fontId="4" fillId="0" borderId="13" xfId="49" applyNumberFormat="1" applyFont="1" applyBorder="1" applyAlignment="1">
      <alignment horizontal="center" vertical="center"/>
    </xf>
    <xf numFmtId="182" fontId="4" fillId="0" borderId="13" xfId="49" applyNumberFormat="1" applyFont="1" applyBorder="1">
      <alignment vertical="center"/>
    </xf>
    <xf numFmtId="2" fontId="26" fillId="0" borderId="0" xfId="51" applyNumberFormat="1" applyFont="1" applyAlignment="1">
      <alignment horizontal="center" vertical="top" wrapText="1"/>
    </xf>
    <xf numFmtId="189" fontId="4" fillId="0" borderId="13" xfId="51" applyNumberFormat="1" applyFont="1" applyBorder="1"/>
    <xf numFmtId="189" fontId="4" fillId="0" borderId="13" xfId="51" applyNumberFormat="1" applyFont="1" applyBorder="1" applyAlignment="1">
      <alignment horizontal="right"/>
    </xf>
    <xf numFmtId="176" fontId="4" fillId="0" borderId="13" xfId="50" applyFont="1" applyBorder="1" applyAlignment="1">
      <alignment horizontal="center" vertical="center"/>
    </xf>
    <xf numFmtId="4" fontId="4" fillId="0" borderId="13" xfId="50" applyNumberFormat="1" applyFont="1" applyBorder="1" applyAlignment="1">
      <alignment horizontal="center" vertical="center"/>
    </xf>
    <xf numFmtId="4" fontId="4" fillId="0" borderId="13" xfId="49" applyNumberFormat="1" applyFont="1" applyBorder="1" applyAlignment="1">
      <alignment horizontal="right" vertical="center"/>
    </xf>
    <xf numFmtId="2" fontId="4" fillId="0" borderId="0" xfId="49" applyNumberFormat="1" applyFont="1" applyAlignment="1">
      <alignment horizontal="center" vertical="center"/>
    </xf>
    <xf numFmtId="0" fontId="4" fillId="0" borderId="13" xfId="49" applyFont="1" applyBorder="1" applyAlignment="1">
      <alignment horizontal="left" vertical="center"/>
    </xf>
    <xf numFmtId="0" fontId="2" fillId="0" borderId="13" xfId="0" applyFont="1" applyFill="1" applyBorder="1" applyAlignment="1">
      <alignment wrapText="1"/>
    </xf>
    <xf numFmtId="0" fontId="28" fillId="0" borderId="13" xfId="0" applyFont="1" applyFill="1" applyBorder="1" applyAlignment="1">
      <alignment horizontal="right" wrapText="1" readingOrder="1"/>
    </xf>
    <xf numFmtId="0" fontId="29" fillId="0" borderId="13" xfId="53" applyFont="1" applyBorder="1" applyAlignment="1">
      <alignment horizontal="center" vertical="center"/>
    </xf>
    <xf numFmtId="4" fontId="2" fillId="0" borderId="13" xfId="0" applyNumberFormat="1" applyFont="1" applyFill="1" applyBorder="1" applyAlignment="1">
      <alignment wrapText="1"/>
    </xf>
    <xf numFmtId="0" fontId="30" fillId="0" borderId="13" xfId="53" applyBorder="1" applyAlignment="1">
      <alignment horizontal="center" vertical="center"/>
    </xf>
    <xf numFmtId="2" fontId="4" fillId="0" borderId="0" xfId="49" applyNumberFormat="1" applyFont="1" applyAlignment="1">
      <alignment horizontal="left" vertical="center"/>
    </xf>
    <xf numFmtId="2" fontId="4" fillId="0" borderId="13" xfId="51" applyNumberFormat="1" applyFont="1" applyBorder="1" applyAlignment="1">
      <alignment horizontal="right"/>
    </xf>
    <xf numFmtId="0" fontId="4" fillId="0" borderId="13" xfId="49" applyFont="1" applyBorder="1" applyAlignment="1"/>
    <xf numFmtId="176" fontId="4" fillId="0" borderId="13" xfId="49" applyNumberFormat="1" applyFont="1" applyBorder="1">
      <alignment vertical="center"/>
    </xf>
    <xf numFmtId="0" fontId="4" fillId="0" borderId="13" xfId="49" applyFont="1" applyBorder="1" applyAlignment="1">
      <alignment horizontal="left"/>
    </xf>
    <xf numFmtId="176" fontId="4" fillId="0" borderId="0" xfId="50" applyFont="1" applyBorder="1" applyAlignment="1">
      <alignment horizontal="center" vertical="center"/>
    </xf>
    <xf numFmtId="180" fontId="4" fillId="0" borderId="0" xfId="1" applyNumberFormat="1" applyFont="1" applyBorder="1" applyAlignment="1">
      <alignment horizontal="center" vertical="center"/>
    </xf>
    <xf numFmtId="180" fontId="4" fillId="0" borderId="0" xfId="1" applyNumberFormat="1" applyFont="1" applyFill="1" applyBorder="1" applyAlignment="1" applyProtection="1">
      <alignment horizontal="center" vertical="center"/>
    </xf>
    <xf numFmtId="181" fontId="4" fillId="0" borderId="13" xfId="49" applyNumberFormat="1" applyFont="1" applyBorder="1" applyAlignment="1"/>
    <xf numFmtId="0" fontId="4" fillId="0" borderId="13" xfId="49" applyFont="1" applyBorder="1" applyAlignment="1">
      <alignment horizontal="center" vertical="center" wrapText="1"/>
    </xf>
    <xf numFmtId="0" fontId="4" fillId="0" borderId="13" xfId="49" applyFont="1" applyBorder="1" applyAlignment="1">
      <alignment horizontal="right" vertical="center"/>
    </xf>
    <xf numFmtId="2" fontId="4" fillId="0" borderId="13" xfId="49" applyNumberFormat="1" applyFont="1" applyBorder="1" applyAlignment="1"/>
    <xf numFmtId="176" fontId="4" fillId="0" borderId="0" xfId="49" applyNumberFormat="1" applyFont="1">
      <alignment vertical="center"/>
    </xf>
    <xf numFmtId="4" fontId="4" fillId="0" borderId="0" xfId="49" applyNumberFormat="1" applyFont="1">
      <alignment vertical="center"/>
    </xf>
    <xf numFmtId="0" fontId="29" fillId="0" borderId="0" xfId="53" applyFont="1" applyAlignment="1">
      <alignment horizontal="center" vertical="center"/>
    </xf>
    <xf numFmtId="0" fontId="4" fillId="0" borderId="0" xfId="50" applyNumberFormat="1" applyFont="1" applyBorder="1" applyAlignment="1">
      <alignment horizontal="center" vertical="center"/>
    </xf>
    <xf numFmtId="176" fontId="4" fillId="0" borderId="0" xfId="50" applyFont="1" applyAlignment="1">
      <alignment horizontal="center" vertical="center"/>
    </xf>
    <xf numFmtId="0" fontId="21" fillId="11" borderId="20" xfId="49" applyFont="1" applyFill="1" applyBorder="1" applyAlignment="1">
      <alignment horizontal="center" vertical="center"/>
    </xf>
    <xf numFmtId="0" fontId="21" fillId="11" borderId="12" xfId="49" applyFont="1" applyFill="1" applyBorder="1" applyAlignment="1">
      <alignment horizontal="center" vertical="center"/>
    </xf>
    <xf numFmtId="0" fontId="4" fillId="0" borderId="13" xfId="51" applyFont="1" applyBorder="1" applyAlignment="1">
      <alignment vertical="center"/>
    </xf>
    <xf numFmtId="189" fontId="4" fillId="0" borderId="13" xfId="51" applyNumberFormat="1" applyFont="1" applyBorder="1" applyAlignment="1">
      <alignment horizontal="center" vertical="center"/>
    </xf>
    <xf numFmtId="2" fontId="4" fillId="0" borderId="13" xfId="49" applyNumberFormat="1" applyFont="1" applyBorder="1" applyAlignment="1">
      <alignment horizontal="center" vertical="center"/>
    </xf>
    <xf numFmtId="2" fontId="4" fillId="0" borderId="13" xfId="49" applyNumberFormat="1" applyFont="1" applyBorder="1">
      <alignment vertical="center"/>
    </xf>
    <xf numFmtId="176" fontId="4" fillId="0" borderId="0" xfId="49" applyNumberFormat="1" applyFont="1" applyAlignment="1"/>
    <xf numFmtId="0" fontId="4" fillId="0" borderId="13" xfId="51" applyFont="1" applyBorder="1" applyAlignment="1">
      <alignment horizontal="center" vertical="center"/>
    </xf>
    <xf numFmtId="0" fontId="22" fillId="0" borderId="0" xfId="49" applyFont="1">
      <alignment vertical="center"/>
    </xf>
    <xf numFmtId="176" fontId="4" fillId="0" borderId="0" xfId="50" applyFont="1" applyBorder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2" xfId="50"/>
    <cellStyle name="Normal 2 2" xfId="51"/>
    <cellStyle name="Percent 2" xfId="52"/>
    <cellStyle name="常规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89"/>
  <sheetViews>
    <sheetView tabSelected="1" topLeftCell="A25" workbookViewId="0">
      <selection activeCell="L13" sqref="L13"/>
    </sheetView>
  </sheetViews>
  <sheetFormatPr defaultColWidth="8" defaultRowHeight="12.75"/>
  <cols>
    <col min="1" max="1" width="4.125" style="5" customWidth="1"/>
    <col min="2" max="2" width="16.875" style="5" customWidth="1"/>
    <col min="3" max="3" width="14.625" style="5" customWidth="1"/>
    <col min="4" max="4" width="31.875" style="5" customWidth="1"/>
    <col min="5" max="5" width="41.5" style="5" customWidth="1"/>
    <col min="6" max="6" width="11.875" style="5" customWidth="1"/>
    <col min="7" max="7" width="13.625" style="5" customWidth="1"/>
    <col min="8" max="8" width="10.625" style="5" customWidth="1"/>
    <col min="9" max="9" width="5.5" style="5" customWidth="1"/>
    <col min="10" max="10" width="9.75" style="5" customWidth="1"/>
    <col min="11" max="11" width="11.125" style="5" customWidth="1"/>
    <col min="12" max="12" width="13.125" style="5" customWidth="1"/>
    <col min="13" max="13" width="14.125" style="5" customWidth="1"/>
    <col min="14" max="14" width="17.5" style="5" customWidth="1"/>
    <col min="15" max="15" width="14.125" style="5" customWidth="1"/>
    <col min="16" max="16" width="12.625" style="5" customWidth="1"/>
    <col min="17" max="17" width="12.625" style="6" customWidth="1"/>
    <col min="18" max="18" width="10.625" style="5" customWidth="1"/>
    <col min="19" max="19" width="15.25" style="5" customWidth="1"/>
    <col min="20" max="20" width="11.375" style="5" customWidth="1"/>
    <col min="21" max="21" width="12.625" style="5" customWidth="1"/>
    <col min="22" max="22" width="8.75" style="5" customWidth="1"/>
    <col min="23" max="23" width="11.25" style="5" customWidth="1"/>
    <col min="24" max="24" width="17.125" style="5" customWidth="1"/>
    <col min="25" max="25" width="20.5" style="5" customWidth="1"/>
    <col min="26" max="26" width="8" style="5"/>
    <col min="27" max="27" width="7" style="7" customWidth="1"/>
    <col min="28" max="28" width="8.25" style="7" customWidth="1"/>
    <col min="29" max="29" width="10.125" style="5" customWidth="1"/>
    <col min="30" max="16384" width="8" style="5"/>
  </cols>
  <sheetData>
    <row r="1" s="1" customFormat="1" ht="21.75" spans="1:30">
      <c r="D1" s="8" t="s">
        <v>0</v>
      </c>
      <c r="E1" s="9" t="s">
        <v>1</v>
      </c>
      <c r="F1" s="10"/>
      <c r="G1" s="11"/>
      <c r="Q1" s="12"/>
      <c r="AA1" s="13"/>
      <c r="AB1" s="13"/>
    </row>
    <row r="2" s="1" customFormat="1" ht="20.25" spans="1:30">
      <c r="D2" s="14" t="s">
        <v>2</v>
      </c>
      <c r="E2" s="15" t="s">
        <v>3</v>
      </c>
      <c r="F2" s="16" t="s">
        <v>4</v>
      </c>
      <c r="G2" s="15">
        <v>95.3</v>
      </c>
      <c r="Q2" s="12"/>
      <c r="AA2" s="13"/>
      <c r="AB2" s="13"/>
    </row>
    <row r="3" s="1" customFormat="1" ht="20.25" spans="1:30">
      <c r="D3" s="14" t="s">
        <v>5</v>
      </c>
      <c r="E3" s="15" t="s">
        <v>6</v>
      </c>
      <c r="F3" s="16" t="s">
        <v>7</v>
      </c>
      <c r="G3" s="15"/>
      <c r="Q3" s="12"/>
      <c r="AA3" s="13"/>
      <c r="AB3" s="13"/>
    </row>
    <row r="4" s="1" customFormat="1" ht="20.25" spans="1:30">
      <c r="D4" s="14" t="s">
        <v>8</v>
      </c>
      <c r="E4" s="15">
        <v>202605105</v>
      </c>
      <c r="F4" s="16" t="s">
        <v>9</v>
      </c>
      <c r="G4" s="17">
        <v>46180</v>
      </c>
      <c r="Q4" s="12"/>
      <c r="AA4" s="13"/>
      <c r="AB4" s="13"/>
    </row>
    <row r="5" s="1" customFormat="1" ht="20.25" spans="1:30">
      <c r="D5" s="14" t="s">
        <v>10</v>
      </c>
      <c r="E5" s="15">
        <v>2050900</v>
      </c>
      <c r="F5" s="18" t="s">
        <v>11</v>
      </c>
      <c r="G5" s="17">
        <v>46195</v>
      </c>
      <c r="Q5" s="12"/>
      <c r="AA5" s="13"/>
      <c r="AB5" s="13"/>
    </row>
    <row r="6" s="1" customFormat="1" ht="20.25" spans="1:30">
      <c r="D6" s="14" t="s">
        <v>12</v>
      </c>
      <c r="E6" s="19" t="s">
        <v>13</v>
      </c>
      <c r="F6" s="20" t="s">
        <v>14</v>
      </c>
      <c r="G6" s="21">
        <v>46180</v>
      </c>
      <c r="Q6" s="12"/>
      <c r="AA6" s="13"/>
      <c r="AB6" s="13"/>
    </row>
    <row r="7" s="1" customFormat="1" ht="39.75" spans="1:30">
      <c r="D7" s="14" t="s">
        <v>15</v>
      </c>
      <c r="E7" s="15"/>
      <c r="F7" s="22" t="s">
        <v>16</v>
      </c>
      <c r="G7" s="17"/>
      <c r="Q7" s="12"/>
      <c r="AA7" s="13"/>
      <c r="AB7" s="13"/>
    </row>
    <row r="8" s="1" customFormat="1" ht="39.75" spans="1:30">
      <c r="D8" s="14" t="s">
        <v>17</v>
      </c>
      <c r="E8" s="14"/>
      <c r="F8" s="14" t="s">
        <v>18</v>
      </c>
      <c r="G8" s="14"/>
      <c r="Q8" s="12"/>
      <c r="AA8" s="13"/>
      <c r="AB8" s="13"/>
    </row>
    <row r="9" s="2" customFormat="1" ht="15" spans="1:30">
      <c r="A9" s="23"/>
      <c r="B9" s="23"/>
      <c r="C9" s="23"/>
      <c r="D9" s="23"/>
      <c r="E9" s="24"/>
      <c r="F9" s="24"/>
      <c r="G9" s="24"/>
      <c r="H9" s="25"/>
      <c r="I9" s="25"/>
      <c r="J9" s="25"/>
      <c r="K9" s="25"/>
      <c r="L9" s="24"/>
      <c r="M9" s="24"/>
      <c r="N9" s="26"/>
      <c r="O9" s="26"/>
      <c r="P9" s="26"/>
      <c r="Q9" s="27"/>
      <c r="R9" s="26"/>
      <c r="S9" s="26"/>
      <c r="T9" s="26"/>
      <c r="U9" s="26"/>
      <c r="V9" s="26"/>
      <c r="W9" s="28"/>
      <c r="X9" s="28"/>
      <c r="Y9" s="28"/>
      <c r="Z9" s="28"/>
      <c r="AA9" s="29"/>
      <c r="AB9" s="29"/>
      <c r="AC9" s="28"/>
    </row>
    <row r="10" s="2" customFormat="1" ht="15" spans="1:30">
      <c r="A10" s="30"/>
      <c r="B10" s="31"/>
      <c r="C10" s="31"/>
      <c r="D10" s="31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2"/>
      <c r="R10" s="30"/>
      <c r="S10" s="30"/>
      <c r="T10" s="30"/>
      <c r="U10" s="30"/>
      <c r="V10" s="30"/>
      <c r="W10" s="30"/>
      <c r="X10" s="30"/>
      <c r="Y10" s="30" t="s">
        <v>19</v>
      </c>
      <c r="Z10" s="30"/>
      <c r="AA10" s="33"/>
      <c r="AB10" s="33"/>
      <c r="AC10" s="30"/>
      <c r="AD10" s="30"/>
    </row>
    <row r="11" s="2" customFormat="1" ht="15" spans="1:30">
      <c r="A11" s="34"/>
      <c r="B11" s="35"/>
      <c r="C11" s="35"/>
      <c r="D11" s="35"/>
      <c r="E11" s="36"/>
      <c r="F11" s="34"/>
      <c r="G11" s="34"/>
      <c r="H11" s="37"/>
      <c r="I11" s="37"/>
      <c r="J11" s="38"/>
      <c r="K11" s="36"/>
      <c r="L11" s="39" t="s">
        <v>20</v>
      </c>
      <c r="M11" s="38"/>
      <c r="N11" s="38"/>
      <c r="O11" s="38"/>
      <c r="P11" s="38"/>
      <c r="Q11" s="40"/>
      <c r="R11" s="38"/>
      <c r="S11" s="38"/>
      <c r="T11" s="38"/>
      <c r="U11" s="38"/>
      <c r="V11" s="36"/>
      <c r="W11" s="36"/>
      <c r="X11" s="36"/>
      <c r="Y11" s="38"/>
      <c r="Z11" s="36"/>
      <c r="AA11" s="41"/>
      <c r="AB11" s="41"/>
      <c r="AC11" s="36"/>
    </row>
    <row r="12" s="3" customFormat="1" ht="45" spans="1:30">
      <c r="A12" s="42" t="s">
        <v>21</v>
      </c>
      <c r="B12" s="43" t="s">
        <v>22</v>
      </c>
      <c r="C12" s="43" t="s">
        <v>23</v>
      </c>
      <c r="D12" s="42" t="s">
        <v>24</v>
      </c>
      <c r="E12" s="42" t="s">
        <v>25</v>
      </c>
      <c r="F12" s="44" t="s">
        <v>26</v>
      </c>
      <c r="G12" s="45" t="s">
        <v>27</v>
      </c>
      <c r="H12" s="46" t="s">
        <v>28</v>
      </c>
      <c r="I12" s="46" t="s">
        <v>29</v>
      </c>
      <c r="J12" s="42" t="s">
        <v>30</v>
      </c>
      <c r="K12" s="42" t="s">
        <v>31</v>
      </c>
      <c r="L12" s="47" t="s">
        <v>32</v>
      </c>
      <c r="M12" s="42" t="s">
        <v>33</v>
      </c>
      <c r="N12" s="42" t="s">
        <v>34</v>
      </c>
      <c r="O12" s="42" t="s">
        <v>35</v>
      </c>
      <c r="P12" s="48" t="s">
        <v>36</v>
      </c>
      <c r="Q12" s="49" t="s">
        <v>37</v>
      </c>
      <c r="R12" s="48" t="s">
        <v>38</v>
      </c>
      <c r="S12" s="42" t="s">
        <v>39</v>
      </c>
      <c r="T12" s="42" t="s">
        <v>40</v>
      </c>
      <c r="U12" s="42" t="s">
        <v>41</v>
      </c>
      <c r="V12" s="42" t="s">
        <v>40</v>
      </c>
      <c r="W12" s="42" t="s">
        <v>42</v>
      </c>
      <c r="X12" s="42" t="s">
        <v>43</v>
      </c>
      <c r="Y12" s="42" t="s">
        <v>44</v>
      </c>
      <c r="Z12" s="2"/>
      <c r="AA12" s="50"/>
      <c r="AB12" s="50"/>
      <c r="AC12" s="2"/>
      <c r="AD12" s="2"/>
    </row>
    <row r="13" s="4" customFormat="1" ht="18.75" spans="1:30">
      <c r="A13" s="51">
        <v>1</v>
      </c>
      <c r="B13" s="52"/>
      <c r="C13" s="53"/>
      <c r="D13" s="54" t="s">
        <v>45</v>
      </c>
      <c r="E13" s="55" t="s">
        <v>46</v>
      </c>
      <c r="F13" s="55">
        <v>42029900</v>
      </c>
      <c r="G13" s="56">
        <v>5</v>
      </c>
      <c r="H13" s="56">
        <v>34</v>
      </c>
      <c r="I13" s="56" t="s">
        <v>47</v>
      </c>
      <c r="J13" s="57">
        <f t="shared" ref="J13:J17" si="0">H13*12</f>
        <v>408</v>
      </c>
      <c r="K13" s="56">
        <v>2.4</v>
      </c>
      <c r="L13" s="58">
        <f t="shared" ref="L13:L57" si="1">H13*K13</f>
        <v>81.6</v>
      </c>
      <c r="M13" s="59">
        <f t="shared" ref="M13:M57" si="2">L13*95.3</f>
        <v>7776.48</v>
      </c>
      <c r="N13" s="60">
        <v>7863.97</v>
      </c>
      <c r="O13" s="61">
        <f t="shared" ref="O13:O57" si="3">M13+P13</f>
        <v>9074.029</v>
      </c>
      <c r="P13" s="62">
        <f t="shared" ref="P13:P57" si="4">U13+W13</f>
        <v>1297.549</v>
      </c>
      <c r="Q13" s="63">
        <v>1649.07</v>
      </c>
      <c r="R13" s="64">
        <v>0.18</v>
      </c>
      <c r="S13" s="65">
        <f t="shared" ref="S13:S57" si="5">P13+Q13</f>
        <v>2946.619</v>
      </c>
      <c r="T13" s="64">
        <v>0.15</v>
      </c>
      <c r="U13" s="63">
        <v>1179.59</v>
      </c>
      <c r="V13" s="66">
        <v>0.1</v>
      </c>
      <c r="W13" s="67">
        <f t="shared" ref="W13:W57" si="6">U13*V13</f>
        <v>117.959</v>
      </c>
      <c r="X13" s="59">
        <f t="shared" ref="X13:X57" si="7">M13+S13</f>
        <v>10723.099</v>
      </c>
      <c r="Y13" s="59">
        <f t="shared" ref="Y13:Y57" si="8">O13/H13</f>
        <v>266.883205882353</v>
      </c>
      <c r="AA13" s="68"/>
      <c r="AB13" s="69"/>
      <c r="AD13" s="68"/>
    </row>
    <row r="14" s="4" customFormat="1" ht="18.75" spans="1:30">
      <c r="A14" s="51">
        <v>2</v>
      </c>
      <c r="B14" s="52"/>
      <c r="C14" s="53"/>
      <c r="D14" s="54" t="s">
        <v>48</v>
      </c>
      <c r="E14" s="55" t="s">
        <v>49</v>
      </c>
      <c r="F14" s="55">
        <v>67021090</v>
      </c>
      <c r="G14" s="56">
        <v>45</v>
      </c>
      <c r="H14" s="56">
        <v>255</v>
      </c>
      <c r="I14" s="56" t="s">
        <v>50</v>
      </c>
      <c r="J14" s="57"/>
      <c r="K14" s="56">
        <v>1.5</v>
      </c>
      <c r="L14" s="58">
        <f t="shared" si="1"/>
        <v>382.5</v>
      </c>
      <c r="M14" s="59">
        <f t="shared" si="2"/>
        <v>36452.25</v>
      </c>
      <c r="N14" s="60">
        <v>36862.34</v>
      </c>
      <c r="O14" s="61">
        <f t="shared" si="3"/>
        <v>44561.967</v>
      </c>
      <c r="P14" s="62">
        <f t="shared" si="4"/>
        <v>8109.717</v>
      </c>
      <c r="Q14" s="63">
        <v>8094.97</v>
      </c>
      <c r="R14" s="64">
        <v>0.18</v>
      </c>
      <c r="S14" s="65">
        <f t="shared" si="5"/>
        <v>16204.687</v>
      </c>
      <c r="T14" s="64">
        <v>0.2</v>
      </c>
      <c r="U14" s="63">
        <v>7372.47</v>
      </c>
      <c r="V14" s="66">
        <v>0.1</v>
      </c>
      <c r="W14" s="67">
        <f t="shared" si="6"/>
        <v>737.247</v>
      </c>
      <c r="X14" s="59">
        <f t="shared" si="7"/>
        <v>52656.937</v>
      </c>
      <c r="Y14" s="59">
        <f t="shared" si="8"/>
        <v>174.752811764706</v>
      </c>
      <c r="Z14" s="70"/>
      <c r="AA14" s="68"/>
      <c r="AB14" s="69"/>
      <c r="AD14" s="68"/>
    </row>
    <row r="15" s="4" customFormat="1" ht="18.75" spans="1:30">
      <c r="A15" s="51">
        <v>3</v>
      </c>
      <c r="B15" s="52"/>
      <c r="C15" s="53"/>
      <c r="D15" s="54" t="s">
        <v>51</v>
      </c>
      <c r="E15" s="55" t="s">
        <v>52</v>
      </c>
      <c r="F15" s="55">
        <v>84439959</v>
      </c>
      <c r="G15" s="56">
        <v>1</v>
      </c>
      <c r="H15" s="56">
        <v>10</v>
      </c>
      <c r="I15" s="56" t="s">
        <v>47</v>
      </c>
      <c r="J15" s="57">
        <f t="shared" si="0"/>
        <v>120</v>
      </c>
      <c r="K15" s="56">
        <v>108</v>
      </c>
      <c r="L15" s="58">
        <f t="shared" si="1"/>
        <v>1080</v>
      </c>
      <c r="M15" s="59">
        <f t="shared" si="2"/>
        <v>102924</v>
      </c>
      <c r="N15" s="60">
        <v>104081.9</v>
      </c>
      <c r="O15" s="61">
        <f t="shared" si="3"/>
        <v>102924</v>
      </c>
      <c r="P15" s="62">
        <f t="shared" si="4"/>
        <v>0</v>
      </c>
      <c r="Q15" s="63">
        <v>18734.74</v>
      </c>
      <c r="R15" s="64">
        <v>0.18</v>
      </c>
      <c r="S15" s="65">
        <f t="shared" si="5"/>
        <v>18734.74</v>
      </c>
      <c r="T15" s="64">
        <v>0</v>
      </c>
      <c r="U15" s="63">
        <v>0</v>
      </c>
      <c r="V15" s="66">
        <v>0.1</v>
      </c>
      <c r="W15" s="67">
        <f t="shared" si="6"/>
        <v>0</v>
      </c>
      <c r="X15" s="59">
        <f t="shared" si="7"/>
        <v>121658.74</v>
      </c>
      <c r="Y15" s="59">
        <f t="shared" si="8"/>
        <v>10292.4</v>
      </c>
      <c r="Z15" s="70"/>
      <c r="AA15" s="68"/>
      <c r="AB15" s="69"/>
      <c r="AD15" s="68"/>
    </row>
    <row r="16" s="4" customFormat="1" ht="18.75" spans="1:30">
      <c r="A16" s="51">
        <v>4</v>
      </c>
      <c r="B16" s="52"/>
      <c r="C16" s="53"/>
      <c r="D16" s="54" t="s">
        <v>53</v>
      </c>
      <c r="E16" s="55" t="s">
        <v>54</v>
      </c>
      <c r="F16" s="55">
        <v>39269099</v>
      </c>
      <c r="G16" s="56">
        <v>17</v>
      </c>
      <c r="H16" s="56">
        <v>425</v>
      </c>
      <c r="I16" s="56" t="s">
        <v>47</v>
      </c>
      <c r="J16" s="57">
        <f t="shared" si="0"/>
        <v>5100</v>
      </c>
      <c r="K16" s="56">
        <v>0.12</v>
      </c>
      <c r="L16" s="58">
        <f t="shared" si="1"/>
        <v>51</v>
      </c>
      <c r="M16" s="59">
        <f t="shared" si="2"/>
        <v>4860.3</v>
      </c>
      <c r="N16" s="60">
        <v>4914.98</v>
      </c>
      <c r="O16" s="61">
        <f t="shared" si="3"/>
        <v>5671.275</v>
      </c>
      <c r="P16" s="62">
        <f t="shared" si="4"/>
        <v>810.975</v>
      </c>
      <c r="Q16" s="63">
        <v>1030.67</v>
      </c>
      <c r="R16" s="64">
        <v>0.18</v>
      </c>
      <c r="S16" s="65">
        <f t="shared" si="5"/>
        <v>1841.645</v>
      </c>
      <c r="T16" s="64">
        <v>0.15</v>
      </c>
      <c r="U16" s="63">
        <v>737.25</v>
      </c>
      <c r="V16" s="66">
        <v>0.1</v>
      </c>
      <c r="W16" s="67">
        <f t="shared" si="6"/>
        <v>73.725</v>
      </c>
      <c r="X16" s="59">
        <f t="shared" si="7"/>
        <v>6701.945</v>
      </c>
      <c r="Y16" s="59">
        <f t="shared" si="8"/>
        <v>13.3441764705882</v>
      </c>
      <c r="Z16" s="70"/>
      <c r="AA16" s="68"/>
      <c r="AB16" s="69"/>
      <c r="AD16" s="68"/>
    </row>
    <row r="17" s="4" customFormat="1" ht="18.75" spans="1:30">
      <c r="A17" s="51">
        <v>5</v>
      </c>
      <c r="B17" s="52"/>
      <c r="C17" s="53"/>
      <c r="D17" s="54" t="s">
        <v>55</v>
      </c>
      <c r="E17" s="55" t="s">
        <v>56</v>
      </c>
      <c r="F17" s="55">
        <v>95059090</v>
      </c>
      <c r="G17" s="56">
        <v>25</v>
      </c>
      <c r="H17" s="56">
        <v>4475</v>
      </c>
      <c r="I17" s="56" t="s">
        <v>47</v>
      </c>
      <c r="J17" s="57">
        <f t="shared" si="0"/>
        <v>53700</v>
      </c>
      <c r="K17" s="56">
        <v>0.12</v>
      </c>
      <c r="L17" s="58">
        <f t="shared" si="1"/>
        <v>537</v>
      </c>
      <c r="M17" s="59">
        <f t="shared" si="2"/>
        <v>51176.1</v>
      </c>
      <c r="N17" s="60">
        <v>51751.83</v>
      </c>
      <c r="O17" s="61">
        <f t="shared" si="3"/>
        <v>62561.507</v>
      </c>
      <c r="P17" s="62">
        <f t="shared" si="4"/>
        <v>11385.407</v>
      </c>
      <c r="Q17" s="63">
        <v>11364.7</v>
      </c>
      <c r="R17" s="64">
        <v>0.18</v>
      </c>
      <c r="S17" s="65">
        <f t="shared" si="5"/>
        <v>22750.107</v>
      </c>
      <c r="T17" s="64">
        <v>0.2</v>
      </c>
      <c r="U17" s="63">
        <v>10350.37</v>
      </c>
      <c r="V17" s="66">
        <v>0.1</v>
      </c>
      <c r="W17" s="67">
        <f t="shared" si="6"/>
        <v>1035.037</v>
      </c>
      <c r="X17" s="59">
        <f t="shared" si="7"/>
        <v>73926.207</v>
      </c>
      <c r="Y17" s="59">
        <f t="shared" si="8"/>
        <v>13.980225027933</v>
      </c>
      <c r="AA17" s="68"/>
      <c r="AB17" s="69"/>
      <c r="AD17" s="68"/>
    </row>
    <row r="18" s="4" customFormat="1" ht="18.75" spans="1:30">
      <c r="A18" s="51">
        <v>6</v>
      </c>
      <c r="B18" s="52"/>
      <c r="C18" s="53"/>
      <c r="D18" s="54" t="s">
        <v>57</v>
      </c>
      <c r="E18" s="55" t="s">
        <v>58</v>
      </c>
      <c r="F18" s="55">
        <v>32159090</v>
      </c>
      <c r="G18" s="56">
        <v>75</v>
      </c>
      <c r="H18" s="56">
        <v>1687.5</v>
      </c>
      <c r="I18" s="56" t="s">
        <v>50</v>
      </c>
      <c r="J18" s="57"/>
      <c r="K18" s="56">
        <v>0.8</v>
      </c>
      <c r="L18" s="58">
        <f t="shared" si="1"/>
        <v>1350</v>
      </c>
      <c r="M18" s="59">
        <f t="shared" si="2"/>
        <v>128655</v>
      </c>
      <c r="N18" s="60">
        <v>130102.37</v>
      </c>
      <c r="O18" s="61">
        <f t="shared" si="3"/>
        <v>142966.264</v>
      </c>
      <c r="P18" s="62">
        <f t="shared" si="4"/>
        <v>14311.264</v>
      </c>
      <c r="Q18" s="63">
        <v>25994.45</v>
      </c>
      <c r="R18" s="64">
        <v>0.18</v>
      </c>
      <c r="S18" s="65">
        <f t="shared" si="5"/>
        <v>40305.714</v>
      </c>
      <c r="T18" s="64">
        <v>0.1</v>
      </c>
      <c r="U18" s="63">
        <v>13010.24</v>
      </c>
      <c r="V18" s="66">
        <v>0.1</v>
      </c>
      <c r="W18" s="67">
        <f t="shared" si="6"/>
        <v>1301.024</v>
      </c>
      <c r="X18" s="59">
        <f t="shared" si="7"/>
        <v>168960.714</v>
      </c>
      <c r="Y18" s="59">
        <f t="shared" si="8"/>
        <v>84.720749037037</v>
      </c>
      <c r="AA18" s="68"/>
      <c r="AB18" s="69"/>
      <c r="AD18" s="68"/>
    </row>
    <row r="19" s="4" customFormat="1" ht="20.25" customHeight="1" spans="1:30">
      <c r="A19" s="51">
        <v>7</v>
      </c>
      <c r="B19" s="52"/>
      <c r="C19" s="53"/>
      <c r="D19" s="54" t="s">
        <v>59</v>
      </c>
      <c r="E19" s="55" t="s">
        <v>60</v>
      </c>
      <c r="F19" s="55">
        <v>32121000</v>
      </c>
      <c r="G19" s="56">
        <v>209</v>
      </c>
      <c r="H19" s="56">
        <v>6771</v>
      </c>
      <c r="I19" s="56" t="s">
        <v>50</v>
      </c>
      <c r="J19" s="57"/>
      <c r="K19" s="56">
        <v>0.7</v>
      </c>
      <c r="L19" s="58">
        <f t="shared" si="1"/>
        <v>4739.7</v>
      </c>
      <c r="M19" s="59">
        <f t="shared" si="2"/>
        <v>451693.41</v>
      </c>
      <c r="N19" s="60">
        <v>456774.96</v>
      </c>
      <c r="O19" s="61">
        <f t="shared" si="3"/>
        <v>501938.66</v>
      </c>
      <c r="P19" s="62">
        <f t="shared" si="4"/>
        <v>50245.25</v>
      </c>
      <c r="Q19" s="63">
        <v>91263.64</v>
      </c>
      <c r="R19" s="64">
        <v>0.18</v>
      </c>
      <c r="S19" s="65">
        <f t="shared" si="5"/>
        <v>141508.89</v>
      </c>
      <c r="T19" s="64">
        <v>0.1</v>
      </c>
      <c r="U19" s="63">
        <v>45677.5</v>
      </c>
      <c r="V19" s="66">
        <v>0.1</v>
      </c>
      <c r="W19" s="67">
        <f t="shared" si="6"/>
        <v>4567.75</v>
      </c>
      <c r="X19" s="59">
        <f t="shared" si="7"/>
        <v>593202.3</v>
      </c>
      <c r="Y19" s="59">
        <f t="shared" si="8"/>
        <v>74.1306542608182</v>
      </c>
      <c r="Z19" s="71"/>
      <c r="AA19" s="68"/>
      <c r="AB19" s="69"/>
      <c r="AD19" s="68"/>
    </row>
    <row r="20" s="4" customFormat="1" ht="18.75" spans="1:30">
      <c r="A20" s="51">
        <v>8</v>
      </c>
      <c r="B20" s="52"/>
      <c r="C20" s="53"/>
      <c r="D20" s="54" t="s">
        <v>61</v>
      </c>
      <c r="E20" s="55" t="s">
        <v>62</v>
      </c>
      <c r="F20" s="55">
        <v>39269099</v>
      </c>
      <c r="G20" s="56">
        <v>70</v>
      </c>
      <c r="H20" s="56">
        <v>1333.5</v>
      </c>
      <c r="I20" s="56" t="s">
        <v>47</v>
      </c>
      <c r="J20" s="57">
        <f t="shared" ref="J20:J22" si="9">H20*12</f>
        <v>16002</v>
      </c>
      <c r="K20" s="56">
        <v>0.12</v>
      </c>
      <c r="L20" s="58">
        <f t="shared" si="1"/>
        <v>160.02</v>
      </c>
      <c r="M20" s="59">
        <f t="shared" si="2"/>
        <v>15249.906</v>
      </c>
      <c r="N20" s="60">
        <v>15421.47</v>
      </c>
      <c r="O20" s="61">
        <f t="shared" si="3"/>
        <v>17794.448</v>
      </c>
      <c r="P20" s="62">
        <f t="shared" si="4"/>
        <v>2544.542</v>
      </c>
      <c r="Q20" s="63">
        <v>3233.88</v>
      </c>
      <c r="R20" s="64">
        <v>0.18</v>
      </c>
      <c r="S20" s="65">
        <f t="shared" si="5"/>
        <v>5778.422</v>
      </c>
      <c r="T20" s="64">
        <v>0.15</v>
      </c>
      <c r="U20" s="63">
        <v>2313.22</v>
      </c>
      <c r="V20" s="66">
        <v>0.1</v>
      </c>
      <c r="W20" s="67">
        <f t="shared" si="6"/>
        <v>231.322</v>
      </c>
      <c r="X20" s="59">
        <f t="shared" si="7"/>
        <v>21028.328</v>
      </c>
      <c r="Y20" s="59">
        <f t="shared" si="8"/>
        <v>13.3441679790026</v>
      </c>
      <c r="AA20" s="68"/>
      <c r="AB20" s="69"/>
      <c r="AC20" s="72"/>
      <c r="AD20" s="68"/>
    </row>
    <row r="21" s="4" customFormat="1" ht="18.75" spans="1:30">
      <c r="A21" s="51">
        <v>9</v>
      </c>
      <c r="B21" s="52"/>
      <c r="C21" s="53"/>
      <c r="D21" s="54" t="s">
        <v>63</v>
      </c>
      <c r="E21" s="55" t="s">
        <v>64</v>
      </c>
      <c r="F21" s="55">
        <v>84439959</v>
      </c>
      <c r="G21" s="56">
        <v>3</v>
      </c>
      <c r="H21" s="56">
        <v>16.5</v>
      </c>
      <c r="I21" s="56" t="s">
        <v>47</v>
      </c>
      <c r="J21" s="57">
        <f t="shared" si="9"/>
        <v>198</v>
      </c>
      <c r="K21" s="56">
        <v>119</v>
      </c>
      <c r="L21" s="58">
        <f t="shared" si="1"/>
        <v>1963.5</v>
      </c>
      <c r="M21" s="59">
        <f t="shared" si="2"/>
        <v>187121.55</v>
      </c>
      <c r="N21" s="60">
        <v>189226.67</v>
      </c>
      <c r="O21" s="61">
        <f t="shared" si="3"/>
        <v>187121.55</v>
      </c>
      <c r="P21" s="62">
        <f t="shared" si="4"/>
        <v>0</v>
      </c>
      <c r="Q21" s="63">
        <v>34060.8</v>
      </c>
      <c r="R21" s="64">
        <v>0.18</v>
      </c>
      <c r="S21" s="65">
        <f t="shared" si="5"/>
        <v>34060.8</v>
      </c>
      <c r="T21" s="64">
        <v>0</v>
      </c>
      <c r="U21" s="63">
        <v>0</v>
      </c>
      <c r="V21" s="66">
        <v>0.1</v>
      </c>
      <c r="W21" s="67">
        <f t="shared" si="6"/>
        <v>0</v>
      </c>
      <c r="X21" s="59">
        <f t="shared" si="7"/>
        <v>221182.35</v>
      </c>
      <c r="Y21" s="59">
        <f t="shared" si="8"/>
        <v>11340.7</v>
      </c>
      <c r="AA21" s="68"/>
      <c r="AB21" s="69"/>
      <c r="AD21" s="68"/>
    </row>
    <row r="22" s="4" customFormat="1" ht="18.75" spans="1:30">
      <c r="A22" s="51">
        <v>10</v>
      </c>
      <c r="B22" s="52"/>
      <c r="C22" s="53"/>
      <c r="D22" s="54" t="s">
        <v>65</v>
      </c>
      <c r="E22" s="55" t="s">
        <v>66</v>
      </c>
      <c r="F22" s="55">
        <v>84439959</v>
      </c>
      <c r="G22" s="56">
        <v>1</v>
      </c>
      <c r="H22" s="56">
        <v>16.5</v>
      </c>
      <c r="I22" s="56" t="s">
        <v>47</v>
      </c>
      <c r="J22" s="57">
        <f t="shared" si="9"/>
        <v>198</v>
      </c>
      <c r="K22" s="56">
        <v>54</v>
      </c>
      <c r="L22" s="58">
        <f t="shared" si="1"/>
        <v>891</v>
      </c>
      <c r="M22" s="59">
        <f t="shared" si="2"/>
        <v>84912.3</v>
      </c>
      <c r="N22" s="60">
        <v>85867.56</v>
      </c>
      <c r="O22" s="61">
        <f t="shared" si="3"/>
        <v>84912.3</v>
      </c>
      <c r="P22" s="62">
        <f t="shared" si="4"/>
        <v>0</v>
      </c>
      <c r="Q22" s="63">
        <v>15456.16</v>
      </c>
      <c r="R22" s="64">
        <v>0.18</v>
      </c>
      <c r="S22" s="65">
        <f t="shared" si="5"/>
        <v>15456.16</v>
      </c>
      <c r="T22" s="64">
        <v>0</v>
      </c>
      <c r="U22" s="63">
        <v>0</v>
      </c>
      <c r="V22" s="66">
        <v>0.1</v>
      </c>
      <c r="W22" s="67">
        <f t="shared" si="6"/>
        <v>0</v>
      </c>
      <c r="X22" s="59">
        <f t="shared" si="7"/>
        <v>100368.46</v>
      </c>
      <c r="Y22" s="59">
        <f t="shared" si="8"/>
        <v>5146.2</v>
      </c>
      <c r="Z22" s="71"/>
      <c r="AA22" s="68"/>
      <c r="AB22" s="69"/>
      <c r="AC22" s="72"/>
      <c r="AD22" s="68"/>
    </row>
    <row r="23" s="4" customFormat="1" ht="18.75" spans="1:30">
      <c r="A23" s="51">
        <v>11</v>
      </c>
      <c r="B23" s="52"/>
      <c r="C23" s="53"/>
      <c r="D23" s="54" t="s">
        <v>67</v>
      </c>
      <c r="E23" s="55" t="s">
        <v>68</v>
      </c>
      <c r="F23" s="55">
        <v>39264049</v>
      </c>
      <c r="G23" s="56">
        <v>401</v>
      </c>
      <c r="H23" s="56">
        <v>5213</v>
      </c>
      <c r="I23" s="56" t="s">
        <v>50</v>
      </c>
      <c r="J23" s="57"/>
      <c r="K23" s="56">
        <v>0.9</v>
      </c>
      <c r="L23" s="58">
        <f t="shared" si="1"/>
        <v>4691.7</v>
      </c>
      <c r="M23" s="59">
        <f t="shared" si="2"/>
        <v>447119.01</v>
      </c>
      <c r="N23" s="60">
        <v>452149.1</v>
      </c>
      <c r="O23" s="61">
        <f t="shared" si="3"/>
        <v>521723.606</v>
      </c>
      <c r="P23" s="62">
        <f t="shared" si="4"/>
        <v>74604.596</v>
      </c>
      <c r="Q23" s="63">
        <v>94815.67</v>
      </c>
      <c r="R23" s="64">
        <v>0.18</v>
      </c>
      <c r="S23" s="65">
        <f t="shared" si="5"/>
        <v>169420.266</v>
      </c>
      <c r="T23" s="64">
        <v>0.15</v>
      </c>
      <c r="U23" s="63">
        <v>67822.36</v>
      </c>
      <c r="V23" s="66">
        <v>0.1</v>
      </c>
      <c r="W23" s="67">
        <f t="shared" si="6"/>
        <v>6782.236</v>
      </c>
      <c r="X23" s="59">
        <f t="shared" si="7"/>
        <v>616539.276</v>
      </c>
      <c r="Y23" s="59">
        <f t="shared" si="8"/>
        <v>100.081259543449</v>
      </c>
      <c r="AA23" s="68"/>
      <c r="AB23" s="69"/>
      <c r="AD23" s="68"/>
    </row>
    <row r="24" s="4" customFormat="1" ht="18.75" spans="1:30">
      <c r="A24" s="51">
        <v>12</v>
      </c>
      <c r="B24" s="52"/>
      <c r="C24" s="53"/>
      <c r="D24" s="54" t="s">
        <v>69</v>
      </c>
      <c r="E24" s="55" t="s">
        <v>70</v>
      </c>
      <c r="F24" s="55">
        <v>39269099</v>
      </c>
      <c r="G24" s="56">
        <v>10</v>
      </c>
      <c r="H24" s="56">
        <v>500</v>
      </c>
      <c r="I24" s="56" t="s">
        <v>47</v>
      </c>
      <c r="J24" s="57">
        <f t="shared" ref="J24:J27" si="10">H24*12</f>
        <v>6000</v>
      </c>
      <c r="K24" s="56">
        <v>0.12</v>
      </c>
      <c r="L24" s="58">
        <f t="shared" si="1"/>
        <v>60</v>
      </c>
      <c r="M24" s="59">
        <f t="shared" si="2"/>
        <v>5718</v>
      </c>
      <c r="N24" s="60">
        <v>5782.33</v>
      </c>
      <c r="O24" s="61">
        <f t="shared" si="3"/>
        <v>6672.085</v>
      </c>
      <c r="P24" s="62">
        <f t="shared" si="4"/>
        <v>954.085</v>
      </c>
      <c r="Q24" s="63">
        <v>1212.55</v>
      </c>
      <c r="R24" s="64">
        <v>0.18</v>
      </c>
      <c r="S24" s="65">
        <f t="shared" si="5"/>
        <v>2166.635</v>
      </c>
      <c r="T24" s="64">
        <v>0.15</v>
      </c>
      <c r="U24" s="63">
        <v>867.35</v>
      </c>
      <c r="V24" s="66">
        <v>0.1</v>
      </c>
      <c r="W24" s="67">
        <f t="shared" si="6"/>
        <v>86.735</v>
      </c>
      <c r="X24" s="59">
        <f t="shared" si="7"/>
        <v>7884.635</v>
      </c>
      <c r="Y24" s="59">
        <f t="shared" si="8"/>
        <v>13.34417</v>
      </c>
      <c r="AA24" s="68"/>
      <c r="AB24" s="69"/>
      <c r="AD24" s="68"/>
    </row>
    <row r="25" s="4" customFormat="1" ht="18.75" spans="1:30">
      <c r="A25" s="51">
        <v>13</v>
      </c>
      <c r="B25" s="52"/>
      <c r="C25" s="53"/>
      <c r="D25" s="54" t="s">
        <v>71</v>
      </c>
      <c r="E25" s="55" t="s">
        <v>72</v>
      </c>
      <c r="F25" s="55">
        <v>39199090</v>
      </c>
      <c r="G25" s="56">
        <v>90</v>
      </c>
      <c r="H25" s="56">
        <v>583</v>
      </c>
      <c r="I25" s="56" t="s">
        <v>50</v>
      </c>
      <c r="J25" s="57"/>
      <c r="K25" s="56">
        <v>0.8</v>
      </c>
      <c r="L25" s="58">
        <f t="shared" si="1"/>
        <v>466.4</v>
      </c>
      <c r="M25" s="59">
        <f t="shared" si="2"/>
        <v>44447.92</v>
      </c>
      <c r="N25" s="60">
        <v>44947.96</v>
      </c>
      <c r="O25" s="61">
        <f t="shared" si="3"/>
        <v>51864.329</v>
      </c>
      <c r="P25" s="62">
        <f t="shared" si="4"/>
        <v>7416.409</v>
      </c>
      <c r="Q25" s="63">
        <v>9425.59</v>
      </c>
      <c r="R25" s="64">
        <v>0.18</v>
      </c>
      <c r="S25" s="65">
        <f t="shared" si="5"/>
        <v>16841.999</v>
      </c>
      <c r="T25" s="64">
        <v>0.15</v>
      </c>
      <c r="U25" s="63">
        <v>6742.19</v>
      </c>
      <c r="V25" s="66">
        <v>0.1</v>
      </c>
      <c r="W25" s="67">
        <f t="shared" si="6"/>
        <v>674.219</v>
      </c>
      <c r="X25" s="59">
        <f t="shared" si="7"/>
        <v>61289.919</v>
      </c>
      <c r="Y25" s="59">
        <f t="shared" si="8"/>
        <v>88.9611132075472</v>
      </c>
      <c r="AA25" s="68"/>
      <c r="AB25" s="69"/>
      <c r="AD25" s="68"/>
    </row>
    <row r="26" s="4" customFormat="1" ht="18.75" spans="1:30">
      <c r="A26" s="51">
        <v>14</v>
      </c>
      <c r="B26" s="52"/>
      <c r="C26" s="53"/>
      <c r="D26" s="54" t="s">
        <v>73</v>
      </c>
      <c r="E26" s="55" t="s">
        <v>74</v>
      </c>
      <c r="F26" s="55">
        <v>91022100</v>
      </c>
      <c r="G26" s="56">
        <v>7</v>
      </c>
      <c r="H26" s="56">
        <v>195</v>
      </c>
      <c r="I26" s="56" t="s">
        <v>47</v>
      </c>
      <c r="J26" s="57">
        <f t="shared" si="10"/>
        <v>2340</v>
      </c>
      <c r="K26" s="56">
        <v>4.2</v>
      </c>
      <c r="L26" s="58">
        <f t="shared" si="1"/>
        <v>819</v>
      </c>
      <c r="M26" s="59">
        <f t="shared" si="2"/>
        <v>78050.7</v>
      </c>
      <c r="N26" s="60">
        <v>78928.77</v>
      </c>
      <c r="O26" s="61">
        <f t="shared" si="3"/>
        <v>95415.025</v>
      </c>
      <c r="P26" s="62">
        <f t="shared" si="4"/>
        <v>17364.325</v>
      </c>
      <c r="Q26" s="63">
        <v>17332.76</v>
      </c>
      <c r="R26" s="64">
        <v>0.18</v>
      </c>
      <c r="S26" s="65">
        <f t="shared" si="5"/>
        <v>34697.085</v>
      </c>
      <c r="T26" s="64">
        <v>0.2</v>
      </c>
      <c r="U26" s="63">
        <v>15785.75</v>
      </c>
      <c r="V26" s="66">
        <v>0.1</v>
      </c>
      <c r="W26" s="67">
        <f t="shared" si="6"/>
        <v>1578.575</v>
      </c>
      <c r="X26" s="59">
        <f t="shared" si="7"/>
        <v>112747.785</v>
      </c>
      <c r="Y26" s="59">
        <f t="shared" si="8"/>
        <v>489.30782051282</v>
      </c>
      <c r="AA26" s="68"/>
      <c r="AB26" s="69"/>
      <c r="AD26" s="68"/>
    </row>
    <row r="27" s="4" customFormat="1" ht="18.75" spans="1:30">
      <c r="A27" s="51">
        <v>15</v>
      </c>
      <c r="B27" s="52"/>
      <c r="C27" s="53"/>
      <c r="D27" s="54" t="s">
        <v>75</v>
      </c>
      <c r="E27" s="55" t="s">
        <v>76</v>
      </c>
      <c r="F27" s="55">
        <v>39199090</v>
      </c>
      <c r="G27" s="56">
        <v>1</v>
      </c>
      <c r="H27" s="56">
        <v>5</v>
      </c>
      <c r="I27" s="56" t="s">
        <v>47</v>
      </c>
      <c r="J27" s="57">
        <f t="shared" si="10"/>
        <v>60</v>
      </c>
      <c r="K27" s="56">
        <v>1.2</v>
      </c>
      <c r="L27" s="58">
        <f t="shared" si="1"/>
        <v>6</v>
      </c>
      <c r="M27" s="59">
        <f t="shared" si="2"/>
        <v>571.8</v>
      </c>
      <c r="N27" s="60">
        <v>578.23</v>
      </c>
      <c r="O27" s="61">
        <f t="shared" si="3"/>
        <v>667.203</v>
      </c>
      <c r="P27" s="62">
        <f t="shared" si="4"/>
        <v>95.403</v>
      </c>
      <c r="Q27" s="63">
        <v>121.26</v>
      </c>
      <c r="R27" s="64">
        <v>0.18</v>
      </c>
      <c r="S27" s="65">
        <f t="shared" si="5"/>
        <v>216.663</v>
      </c>
      <c r="T27" s="64">
        <v>0.15</v>
      </c>
      <c r="U27" s="63">
        <v>86.73</v>
      </c>
      <c r="V27" s="66">
        <v>0.1</v>
      </c>
      <c r="W27" s="67">
        <f t="shared" si="6"/>
        <v>8.673</v>
      </c>
      <c r="X27" s="59">
        <f t="shared" si="7"/>
        <v>788.463</v>
      </c>
      <c r="Y27" s="59">
        <f t="shared" si="8"/>
        <v>133.4406</v>
      </c>
      <c r="AA27" s="68"/>
      <c r="AB27" s="69"/>
      <c r="AD27" s="68"/>
    </row>
    <row r="28" s="4" customFormat="1" ht="18.75" spans="1:30">
      <c r="A28" s="51">
        <v>16</v>
      </c>
      <c r="B28" s="52"/>
      <c r="C28" s="53"/>
      <c r="D28" s="54" t="s">
        <v>77</v>
      </c>
      <c r="E28" s="55" t="s">
        <v>78</v>
      </c>
      <c r="F28" s="55">
        <v>84729010</v>
      </c>
      <c r="G28" s="56">
        <v>300</v>
      </c>
      <c r="H28" s="56">
        <v>4500</v>
      </c>
      <c r="I28" s="56" t="s">
        <v>79</v>
      </c>
      <c r="J28" s="57"/>
      <c r="K28" s="56">
        <v>0.2</v>
      </c>
      <c r="L28" s="58">
        <f t="shared" si="1"/>
        <v>900</v>
      </c>
      <c r="M28" s="59">
        <f t="shared" si="2"/>
        <v>85770</v>
      </c>
      <c r="N28" s="60">
        <v>86734.91</v>
      </c>
      <c r="O28" s="61">
        <f t="shared" si="3"/>
        <v>95310.839</v>
      </c>
      <c r="P28" s="62">
        <f t="shared" si="4"/>
        <v>9540.839</v>
      </c>
      <c r="Q28" s="63">
        <v>17329.64</v>
      </c>
      <c r="R28" s="64">
        <v>0.18</v>
      </c>
      <c r="S28" s="65">
        <f t="shared" si="5"/>
        <v>26870.479</v>
      </c>
      <c r="T28" s="64">
        <v>0.1</v>
      </c>
      <c r="U28" s="63">
        <v>8673.49</v>
      </c>
      <c r="V28" s="66">
        <v>0.1</v>
      </c>
      <c r="W28" s="67">
        <f t="shared" si="6"/>
        <v>867.349</v>
      </c>
      <c r="X28" s="59">
        <f t="shared" si="7"/>
        <v>112640.479</v>
      </c>
      <c r="Y28" s="59">
        <f t="shared" si="8"/>
        <v>21.1801864444444</v>
      </c>
      <c r="AA28" s="68"/>
      <c r="AB28" s="69"/>
      <c r="AD28" s="68"/>
    </row>
    <row r="29" s="4" customFormat="1" ht="18.75" spans="1:30">
      <c r="A29" s="51">
        <v>17</v>
      </c>
      <c r="B29" s="52"/>
      <c r="C29" s="73"/>
      <c r="D29" s="54"/>
      <c r="E29" s="55" t="s">
        <v>80</v>
      </c>
      <c r="F29" s="55">
        <v>48201090</v>
      </c>
      <c r="G29" s="56">
        <v>17</v>
      </c>
      <c r="H29" s="56">
        <v>2000</v>
      </c>
      <c r="I29" s="56" t="s">
        <v>81</v>
      </c>
      <c r="J29" s="57"/>
      <c r="K29" s="56">
        <v>0.2</v>
      </c>
      <c r="L29" s="58">
        <f t="shared" si="1"/>
        <v>400</v>
      </c>
      <c r="M29" s="59">
        <f t="shared" si="2"/>
        <v>38120</v>
      </c>
      <c r="N29" s="60">
        <v>38548.85</v>
      </c>
      <c r="O29" s="61">
        <f t="shared" si="3"/>
        <v>42360.379</v>
      </c>
      <c r="P29" s="62">
        <f t="shared" si="4"/>
        <v>4240.379</v>
      </c>
      <c r="Q29" s="63">
        <v>0</v>
      </c>
      <c r="R29" s="64">
        <v>0</v>
      </c>
      <c r="S29" s="65">
        <f t="shared" si="5"/>
        <v>4240.379</v>
      </c>
      <c r="T29" s="64">
        <v>0.1</v>
      </c>
      <c r="U29" s="63">
        <v>3854.89</v>
      </c>
      <c r="V29" s="66">
        <v>0.1</v>
      </c>
      <c r="W29" s="67">
        <f t="shared" si="6"/>
        <v>385.489</v>
      </c>
      <c r="X29" s="59">
        <f t="shared" si="7"/>
        <v>42360.379</v>
      </c>
      <c r="Y29" s="59">
        <f t="shared" si="8"/>
        <v>21.1801895</v>
      </c>
      <c r="AA29" s="68"/>
      <c r="AB29" s="69"/>
      <c r="AD29" s="68"/>
    </row>
    <row r="30" s="4" customFormat="1" ht="18.75" spans="1:30">
      <c r="A30" s="51">
        <v>18</v>
      </c>
      <c r="B30" s="74"/>
      <c r="C30" s="53"/>
      <c r="D30" s="54" t="s">
        <v>82</v>
      </c>
      <c r="E30" s="55" t="s">
        <v>83</v>
      </c>
      <c r="F30" s="55">
        <v>39269099</v>
      </c>
      <c r="G30" s="56">
        <v>16</v>
      </c>
      <c r="H30" s="56">
        <v>1800</v>
      </c>
      <c r="I30" s="56" t="s">
        <v>81</v>
      </c>
      <c r="J30" s="57"/>
      <c r="K30" s="56">
        <v>0.3</v>
      </c>
      <c r="L30" s="58">
        <f t="shared" si="1"/>
        <v>540</v>
      </c>
      <c r="M30" s="59">
        <f t="shared" si="2"/>
        <v>51462</v>
      </c>
      <c r="N30" s="60">
        <v>52040.95</v>
      </c>
      <c r="O30" s="61">
        <f t="shared" si="3"/>
        <v>60048.754</v>
      </c>
      <c r="P30" s="62">
        <f t="shared" si="4"/>
        <v>8586.754</v>
      </c>
      <c r="Q30" s="63">
        <v>10912.99</v>
      </c>
      <c r="R30" s="64">
        <v>0.18</v>
      </c>
      <c r="S30" s="65">
        <f t="shared" si="5"/>
        <v>19499.744</v>
      </c>
      <c r="T30" s="64">
        <v>0.15</v>
      </c>
      <c r="U30" s="63">
        <v>7806.14</v>
      </c>
      <c r="V30" s="66">
        <v>0.1</v>
      </c>
      <c r="W30" s="67">
        <f t="shared" si="6"/>
        <v>780.614</v>
      </c>
      <c r="X30" s="59">
        <f t="shared" si="7"/>
        <v>70961.744</v>
      </c>
      <c r="Y30" s="59">
        <f t="shared" si="8"/>
        <v>33.3604188888889</v>
      </c>
      <c r="AA30" s="68"/>
      <c r="AB30" s="69"/>
      <c r="AD30" s="68"/>
    </row>
    <row r="31" s="4" customFormat="1" ht="18.75" spans="1:30">
      <c r="A31" s="51">
        <v>19</v>
      </c>
      <c r="B31" s="52"/>
      <c r="C31" s="53"/>
      <c r="D31" s="54" t="s">
        <v>84</v>
      </c>
      <c r="E31" s="55" t="s">
        <v>85</v>
      </c>
      <c r="F31" s="55">
        <v>90191090</v>
      </c>
      <c r="G31" s="56">
        <v>16</v>
      </c>
      <c r="H31" s="56">
        <v>80</v>
      </c>
      <c r="I31" s="56" t="s">
        <v>81</v>
      </c>
      <c r="J31" s="57"/>
      <c r="K31" s="56">
        <v>2</v>
      </c>
      <c r="L31" s="58">
        <f t="shared" si="1"/>
        <v>160</v>
      </c>
      <c r="M31" s="59">
        <f t="shared" si="2"/>
        <v>15248</v>
      </c>
      <c r="N31" s="60">
        <v>15419.54</v>
      </c>
      <c r="O31" s="61">
        <f t="shared" si="3"/>
        <v>17368.195</v>
      </c>
      <c r="P31" s="62">
        <f t="shared" si="4"/>
        <v>2120.195</v>
      </c>
      <c r="Q31" s="63">
        <v>876.99</v>
      </c>
      <c r="R31" s="64">
        <v>0.05</v>
      </c>
      <c r="S31" s="65">
        <f t="shared" si="5"/>
        <v>2997.185</v>
      </c>
      <c r="T31" s="75">
        <v>0.075</v>
      </c>
      <c r="U31" s="63">
        <f>1156.47+770.98</f>
        <v>1927.45</v>
      </c>
      <c r="V31" s="66">
        <v>0.1</v>
      </c>
      <c r="W31" s="67">
        <f t="shared" si="6"/>
        <v>192.745</v>
      </c>
      <c r="X31" s="59">
        <f t="shared" si="7"/>
        <v>18245.185</v>
      </c>
      <c r="Y31" s="59">
        <f t="shared" si="8"/>
        <v>217.1024375</v>
      </c>
      <c r="AA31" s="68"/>
      <c r="AB31" s="69"/>
      <c r="AD31" s="68"/>
    </row>
    <row r="32" s="4" customFormat="1" ht="18.75" spans="1:30">
      <c r="A32" s="51">
        <v>20</v>
      </c>
      <c r="B32" s="52"/>
      <c r="C32" s="53"/>
      <c r="D32" s="54" t="s">
        <v>86</v>
      </c>
      <c r="E32" s="55" t="s">
        <v>87</v>
      </c>
      <c r="F32" s="55">
        <v>42029900</v>
      </c>
      <c r="G32" s="56">
        <v>4</v>
      </c>
      <c r="H32" s="56">
        <v>400</v>
      </c>
      <c r="I32" s="56" t="s">
        <v>81</v>
      </c>
      <c r="J32" s="57"/>
      <c r="K32" s="56">
        <v>0.3</v>
      </c>
      <c r="L32" s="58">
        <f t="shared" si="1"/>
        <v>120</v>
      </c>
      <c r="M32" s="59">
        <f t="shared" si="2"/>
        <v>11436</v>
      </c>
      <c r="N32" s="60">
        <v>11564.66</v>
      </c>
      <c r="O32" s="61">
        <f t="shared" si="3"/>
        <v>13344.17</v>
      </c>
      <c r="P32" s="62">
        <f t="shared" si="4"/>
        <v>1908.17</v>
      </c>
      <c r="Q32" s="63">
        <v>2425.11</v>
      </c>
      <c r="R32" s="64">
        <v>0.18</v>
      </c>
      <c r="S32" s="65">
        <f t="shared" si="5"/>
        <v>4333.28</v>
      </c>
      <c r="T32" s="64">
        <v>0.15</v>
      </c>
      <c r="U32" s="63">
        <v>1734.7</v>
      </c>
      <c r="V32" s="66">
        <v>0.1</v>
      </c>
      <c r="W32" s="67">
        <f t="shared" si="6"/>
        <v>173.47</v>
      </c>
      <c r="X32" s="59">
        <f t="shared" si="7"/>
        <v>15769.28</v>
      </c>
      <c r="Y32" s="59">
        <f t="shared" si="8"/>
        <v>33.360425</v>
      </c>
      <c r="AA32" s="68"/>
      <c r="AB32" s="69"/>
      <c r="AD32" s="68"/>
    </row>
    <row r="33" s="4" customFormat="1" ht="18.75" spans="1:30">
      <c r="A33" s="51">
        <v>21</v>
      </c>
      <c r="B33" s="52"/>
      <c r="C33" s="53"/>
      <c r="D33" s="54" t="s">
        <v>45</v>
      </c>
      <c r="E33" s="55" t="s">
        <v>88</v>
      </c>
      <c r="F33" s="55">
        <v>42029900</v>
      </c>
      <c r="G33" s="56">
        <v>14</v>
      </c>
      <c r="H33" s="56">
        <v>1400</v>
      </c>
      <c r="I33" s="56" t="s">
        <v>81</v>
      </c>
      <c r="J33" s="57"/>
      <c r="K33" s="56">
        <v>0.3</v>
      </c>
      <c r="L33" s="58">
        <f t="shared" si="1"/>
        <v>420</v>
      </c>
      <c r="M33" s="59">
        <f t="shared" si="2"/>
        <v>40026</v>
      </c>
      <c r="N33" s="60">
        <v>40476.29</v>
      </c>
      <c r="O33" s="61">
        <f t="shared" si="3"/>
        <v>46704.584</v>
      </c>
      <c r="P33" s="62">
        <f t="shared" si="4"/>
        <v>6678.584</v>
      </c>
      <c r="Q33" s="63">
        <v>8487.88</v>
      </c>
      <c r="R33" s="64">
        <v>0.18</v>
      </c>
      <c r="S33" s="65">
        <f t="shared" si="5"/>
        <v>15166.464</v>
      </c>
      <c r="T33" s="64">
        <v>0.15</v>
      </c>
      <c r="U33" s="63">
        <v>6071.44</v>
      </c>
      <c r="V33" s="66">
        <v>0.1</v>
      </c>
      <c r="W33" s="67">
        <f t="shared" si="6"/>
        <v>607.144</v>
      </c>
      <c r="X33" s="59">
        <f t="shared" si="7"/>
        <v>55192.464</v>
      </c>
      <c r="Y33" s="59">
        <f t="shared" si="8"/>
        <v>33.3604171428571</v>
      </c>
      <c r="AA33" s="68"/>
      <c r="AB33" s="69"/>
      <c r="AD33" s="68"/>
    </row>
    <row r="34" s="4" customFormat="1" ht="18.75" spans="1:30">
      <c r="A34" s="51">
        <v>22</v>
      </c>
      <c r="B34" s="52"/>
      <c r="C34" s="53"/>
      <c r="D34" s="54" t="s">
        <v>89</v>
      </c>
      <c r="E34" s="55" t="s">
        <v>90</v>
      </c>
      <c r="F34" s="55">
        <v>42029900</v>
      </c>
      <c r="G34" s="56">
        <v>11</v>
      </c>
      <c r="H34" s="56">
        <v>1800</v>
      </c>
      <c r="I34" s="56" t="s">
        <v>81</v>
      </c>
      <c r="J34" s="57"/>
      <c r="K34" s="56">
        <v>0.3</v>
      </c>
      <c r="L34" s="58">
        <f t="shared" si="1"/>
        <v>540</v>
      </c>
      <c r="M34" s="59">
        <f t="shared" si="2"/>
        <v>51462</v>
      </c>
      <c r="N34" s="60">
        <v>52040.95</v>
      </c>
      <c r="O34" s="61">
        <f t="shared" si="3"/>
        <v>60048.754</v>
      </c>
      <c r="P34" s="62">
        <f t="shared" si="4"/>
        <v>8586.754</v>
      </c>
      <c r="Q34" s="63">
        <v>10912.99</v>
      </c>
      <c r="R34" s="64">
        <v>0.18</v>
      </c>
      <c r="S34" s="65">
        <f t="shared" si="5"/>
        <v>19499.744</v>
      </c>
      <c r="T34" s="64">
        <v>0.15</v>
      </c>
      <c r="U34" s="63">
        <v>7806.14</v>
      </c>
      <c r="V34" s="66">
        <v>0.1</v>
      </c>
      <c r="W34" s="67">
        <f t="shared" si="6"/>
        <v>780.614</v>
      </c>
      <c r="X34" s="59">
        <f t="shared" si="7"/>
        <v>70961.744</v>
      </c>
      <c r="Y34" s="59">
        <f t="shared" si="8"/>
        <v>33.3604188888889</v>
      </c>
      <c r="AA34" s="68"/>
      <c r="AB34" s="69"/>
      <c r="AD34" s="68"/>
    </row>
    <row r="35" s="4" customFormat="1" ht="18.75" spans="1:30">
      <c r="A35" s="51">
        <v>23</v>
      </c>
      <c r="B35" s="52"/>
      <c r="C35" s="53"/>
      <c r="D35" s="54"/>
      <c r="E35" s="55" t="s">
        <v>91</v>
      </c>
      <c r="F35" s="55">
        <v>70139900</v>
      </c>
      <c r="G35" s="56">
        <v>15</v>
      </c>
      <c r="H35" s="56">
        <v>750</v>
      </c>
      <c r="I35" s="56" t="s">
        <v>81</v>
      </c>
      <c r="J35" s="57"/>
      <c r="K35" s="56">
        <v>0.15</v>
      </c>
      <c r="L35" s="58">
        <f t="shared" si="1"/>
        <v>112.5</v>
      </c>
      <c r="M35" s="59">
        <f t="shared" si="2"/>
        <v>10721.25</v>
      </c>
      <c r="N35" s="60">
        <v>10841.86</v>
      </c>
      <c r="O35" s="61">
        <f t="shared" si="3"/>
        <v>13106.457</v>
      </c>
      <c r="P35" s="62">
        <f t="shared" si="4"/>
        <v>2385.207</v>
      </c>
      <c r="Q35" s="63">
        <v>2380.87</v>
      </c>
      <c r="R35" s="64">
        <v>0.18</v>
      </c>
      <c r="S35" s="65">
        <f t="shared" si="5"/>
        <v>4766.077</v>
      </c>
      <c r="T35" s="64">
        <v>0.2</v>
      </c>
      <c r="U35" s="63">
        <v>2168.37</v>
      </c>
      <c r="V35" s="66">
        <v>0.1</v>
      </c>
      <c r="W35" s="67">
        <f t="shared" si="6"/>
        <v>216.837</v>
      </c>
      <c r="X35" s="59">
        <f t="shared" si="7"/>
        <v>15487.327</v>
      </c>
      <c r="Y35" s="59">
        <f t="shared" si="8"/>
        <v>17.475276</v>
      </c>
      <c r="AA35" s="68"/>
      <c r="AB35" s="69"/>
      <c r="AD35" s="68"/>
    </row>
    <row r="36" s="4" customFormat="1" ht="18.75" spans="1:30">
      <c r="A36" s="51">
        <v>24</v>
      </c>
      <c r="B36" s="52"/>
      <c r="C36" s="53"/>
      <c r="D36" s="54" t="s">
        <v>92</v>
      </c>
      <c r="E36" s="55" t="s">
        <v>93</v>
      </c>
      <c r="F36" s="55">
        <v>90184900</v>
      </c>
      <c r="G36" s="76">
        <v>4</v>
      </c>
      <c r="H36" s="56">
        <v>40</v>
      </c>
      <c r="I36" s="56" t="s">
        <v>81</v>
      </c>
      <c r="J36" s="57"/>
      <c r="K36" s="56">
        <v>0.6</v>
      </c>
      <c r="L36" s="58">
        <f t="shared" si="1"/>
        <v>24</v>
      </c>
      <c r="M36" s="59">
        <f t="shared" si="2"/>
        <v>2287.2</v>
      </c>
      <c r="N36" s="60">
        <v>2312.93</v>
      </c>
      <c r="O36" s="61">
        <f t="shared" si="3"/>
        <v>2605.232</v>
      </c>
      <c r="P36" s="62">
        <f t="shared" si="4"/>
        <v>318.032</v>
      </c>
      <c r="Q36" s="63">
        <v>131.55</v>
      </c>
      <c r="R36" s="64">
        <v>0.05</v>
      </c>
      <c r="S36" s="65">
        <f t="shared" si="5"/>
        <v>449.582</v>
      </c>
      <c r="T36" s="75">
        <v>0.075</v>
      </c>
      <c r="U36" s="63">
        <f>173.47+115.65</f>
        <v>289.12</v>
      </c>
      <c r="V36" s="66">
        <v>0.1</v>
      </c>
      <c r="W36" s="67">
        <f t="shared" si="6"/>
        <v>28.912</v>
      </c>
      <c r="X36" s="59">
        <f t="shared" si="7"/>
        <v>2736.782</v>
      </c>
      <c r="Y36" s="59">
        <f t="shared" si="8"/>
        <v>65.1308</v>
      </c>
      <c r="AA36" s="68"/>
      <c r="AB36" s="69"/>
      <c r="AD36" s="68"/>
    </row>
    <row r="37" s="4" customFormat="1" ht="18.75" spans="1:30">
      <c r="A37" s="51">
        <v>25</v>
      </c>
      <c r="B37" s="52"/>
      <c r="C37" s="53"/>
      <c r="D37" s="54" t="s">
        <v>92</v>
      </c>
      <c r="E37" s="55" t="s">
        <v>94</v>
      </c>
      <c r="F37" s="55">
        <v>90184900</v>
      </c>
      <c r="G37" s="77"/>
      <c r="H37" s="56">
        <v>5</v>
      </c>
      <c r="I37" s="56" t="s">
        <v>81</v>
      </c>
      <c r="J37" s="57"/>
      <c r="K37" s="56">
        <v>0.54</v>
      </c>
      <c r="L37" s="58">
        <f t="shared" si="1"/>
        <v>2.7</v>
      </c>
      <c r="M37" s="59">
        <f t="shared" si="2"/>
        <v>257.31</v>
      </c>
      <c r="N37" s="60">
        <v>260.2</v>
      </c>
      <c r="O37" s="61">
        <f t="shared" si="3"/>
        <v>293.093</v>
      </c>
      <c r="P37" s="62">
        <f t="shared" si="4"/>
        <v>35.783</v>
      </c>
      <c r="Q37" s="63">
        <v>14.8</v>
      </c>
      <c r="R37" s="64">
        <v>0.05</v>
      </c>
      <c r="S37" s="65">
        <f t="shared" si="5"/>
        <v>50.583</v>
      </c>
      <c r="T37" s="75">
        <v>0.075</v>
      </c>
      <c r="U37" s="62">
        <f>19.52+13.01</f>
        <v>32.53</v>
      </c>
      <c r="V37" s="66">
        <v>0.1</v>
      </c>
      <c r="W37" s="67">
        <f t="shared" si="6"/>
        <v>3.253</v>
      </c>
      <c r="X37" s="59">
        <f t="shared" si="7"/>
        <v>307.893</v>
      </c>
      <c r="Y37" s="59">
        <f t="shared" si="8"/>
        <v>58.6186</v>
      </c>
      <c r="AA37" s="68"/>
      <c r="AB37" s="69"/>
      <c r="AD37" s="68"/>
    </row>
    <row r="38" s="4" customFormat="1" ht="18.75" spans="1:30">
      <c r="A38" s="51">
        <v>26</v>
      </c>
      <c r="B38" s="52"/>
      <c r="C38" s="53"/>
      <c r="D38" s="54" t="s">
        <v>92</v>
      </c>
      <c r="E38" s="55" t="s">
        <v>95</v>
      </c>
      <c r="F38" s="55">
        <v>90184900</v>
      </c>
      <c r="G38" s="77"/>
      <c r="H38" s="56">
        <v>5</v>
      </c>
      <c r="I38" s="56" t="s">
        <v>81</v>
      </c>
      <c r="J38" s="57"/>
      <c r="K38" s="56">
        <v>0.8</v>
      </c>
      <c r="L38" s="58">
        <f t="shared" si="1"/>
        <v>4</v>
      </c>
      <c r="M38" s="59">
        <f t="shared" si="2"/>
        <v>381.2</v>
      </c>
      <c r="N38" s="60">
        <v>385.49</v>
      </c>
      <c r="O38" s="61">
        <f t="shared" si="3"/>
        <v>434.198</v>
      </c>
      <c r="P38" s="62">
        <f t="shared" si="4"/>
        <v>52.998</v>
      </c>
      <c r="Q38" s="63">
        <v>21.92</v>
      </c>
      <c r="R38" s="64">
        <v>0.05</v>
      </c>
      <c r="S38" s="65">
        <f t="shared" si="5"/>
        <v>74.918</v>
      </c>
      <c r="T38" s="75">
        <v>0.075</v>
      </c>
      <c r="U38" s="62">
        <f>28.91+19.27</f>
        <v>48.18</v>
      </c>
      <c r="V38" s="66">
        <v>0.1</v>
      </c>
      <c r="W38" s="67">
        <f t="shared" si="6"/>
        <v>4.818</v>
      </c>
      <c r="X38" s="59">
        <f t="shared" si="7"/>
        <v>456.118</v>
      </c>
      <c r="Y38" s="59">
        <f t="shared" si="8"/>
        <v>86.8396</v>
      </c>
      <c r="AA38" s="68"/>
      <c r="AB38" s="69"/>
      <c r="AD38" s="68"/>
    </row>
    <row r="39" s="4" customFormat="1" ht="18.75" spans="1:30">
      <c r="A39" s="51">
        <v>27</v>
      </c>
      <c r="B39" s="52"/>
      <c r="C39" s="53"/>
      <c r="D39" s="54" t="s">
        <v>92</v>
      </c>
      <c r="E39" s="55" t="s">
        <v>96</v>
      </c>
      <c r="F39" s="55">
        <v>90184900</v>
      </c>
      <c r="G39" s="77"/>
      <c r="H39" s="56">
        <v>12</v>
      </c>
      <c r="I39" s="56" t="s">
        <v>81</v>
      </c>
      <c r="J39" s="57"/>
      <c r="K39" s="56">
        <v>0.9</v>
      </c>
      <c r="L39" s="58">
        <f t="shared" si="1"/>
        <v>10.8</v>
      </c>
      <c r="M39" s="59">
        <f t="shared" si="2"/>
        <v>1029.24</v>
      </c>
      <c r="N39" s="60">
        <v>1040.82</v>
      </c>
      <c r="O39" s="61">
        <f t="shared" si="3"/>
        <v>1172.35</v>
      </c>
      <c r="P39" s="62">
        <f t="shared" si="4"/>
        <v>143.11</v>
      </c>
      <c r="Q39" s="63">
        <v>59.2</v>
      </c>
      <c r="R39" s="64">
        <v>0.05</v>
      </c>
      <c r="S39" s="65">
        <f t="shared" si="5"/>
        <v>202.31</v>
      </c>
      <c r="T39" s="75">
        <v>0.075</v>
      </c>
      <c r="U39" s="62">
        <f>78.06+52.04</f>
        <v>130.1</v>
      </c>
      <c r="V39" s="66">
        <v>0.1</v>
      </c>
      <c r="W39" s="67">
        <f t="shared" si="6"/>
        <v>13.01</v>
      </c>
      <c r="X39" s="59">
        <f t="shared" si="7"/>
        <v>1231.55</v>
      </c>
      <c r="Y39" s="59">
        <f t="shared" si="8"/>
        <v>97.6958333333333</v>
      </c>
      <c r="AA39" s="68"/>
      <c r="AB39" s="69"/>
      <c r="AD39" s="68"/>
    </row>
    <row r="40" s="4" customFormat="1" ht="18.75" spans="1:30">
      <c r="A40" s="51">
        <v>28</v>
      </c>
      <c r="B40" s="52"/>
      <c r="C40" s="53"/>
      <c r="D40" s="54" t="s">
        <v>92</v>
      </c>
      <c r="E40" s="55" t="s">
        <v>97</v>
      </c>
      <c r="F40" s="55">
        <v>90184900</v>
      </c>
      <c r="G40" s="77"/>
      <c r="H40" s="56">
        <v>10</v>
      </c>
      <c r="I40" s="56" t="s">
        <v>81</v>
      </c>
      <c r="J40" s="57"/>
      <c r="K40" s="56">
        <v>0.65</v>
      </c>
      <c r="L40" s="58">
        <f t="shared" si="1"/>
        <v>6.5</v>
      </c>
      <c r="M40" s="59">
        <f t="shared" si="2"/>
        <v>619.45</v>
      </c>
      <c r="N40" s="60">
        <v>626.42</v>
      </c>
      <c r="O40" s="61">
        <f t="shared" si="3"/>
        <v>705.58</v>
      </c>
      <c r="P40" s="62">
        <f t="shared" si="4"/>
        <v>86.13</v>
      </c>
      <c r="Q40" s="63">
        <v>35.63</v>
      </c>
      <c r="R40" s="64">
        <v>0.05</v>
      </c>
      <c r="S40" s="65">
        <f t="shared" si="5"/>
        <v>121.76</v>
      </c>
      <c r="T40" s="75">
        <v>0.075</v>
      </c>
      <c r="U40" s="62">
        <f>46.98+31.32</f>
        <v>78.3</v>
      </c>
      <c r="V40" s="66">
        <v>0.1</v>
      </c>
      <c r="W40" s="67">
        <f t="shared" si="6"/>
        <v>7.83</v>
      </c>
      <c r="X40" s="59">
        <f t="shared" si="7"/>
        <v>741.21</v>
      </c>
      <c r="Y40" s="59">
        <f t="shared" si="8"/>
        <v>70.558</v>
      </c>
      <c r="AA40" s="68"/>
      <c r="AB40" s="69"/>
      <c r="AD40" s="68"/>
    </row>
    <row r="41" s="4" customFormat="1" ht="18.75" spans="1:30">
      <c r="A41" s="51">
        <v>29</v>
      </c>
      <c r="B41" s="52"/>
      <c r="C41" s="53"/>
      <c r="D41" s="54" t="s">
        <v>92</v>
      </c>
      <c r="E41" s="55" t="s">
        <v>98</v>
      </c>
      <c r="F41" s="55">
        <v>90184900</v>
      </c>
      <c r="G41" s="77"/>
      <c r="H41" s="56">
        <v>3</v>
      </c>
      <c r="I41" s="56" t="s">
        <v>81</v>
      </c>
      <c r="J41" s="57"/>
      <c r="K41" s="56">
        <v>1.1</v>
      </c>
      <c r="L41" s="58">
        <f t="shared" si="1"/>
        <v>3.3</v>
      </c>
      <c r="M41" s="59">
        <f t="shared" si="2"/>
        <v>314.49</v>
      </c>
      <c r="N41" s="60">
        <v>318.03</v>
      </c>
      <c r="O41" s="61">
        <f t="shared" si="3"/>
        <v>358.215</v>
      </c>
      <c r="P41" s="62">
        <f t="shared" si="4"/>
        <v>43.725</v>
      </c>
      <c r="Q41" s="63">
        <v>18.09</v>
      </c>
      <c r="R41" s="64">
        <v>0.05</v>
      </c>
      <c r="S41" s="65">
        <f t="shared" si="5"/>
        <v>61.815</v>
      </c>
      <c r="T41" s="75">
        <v>0.075</v>
      </c>
      <c r="U41" s="62">
        <f>23.85+15.9</f>
        <v>39.75</v>
      </c>
      <c r="V41" s="66">
        <v>0.1</v>
      </c>
      <c r="W41" s="67">
        <f t="shared" si="6"/>
        <v>3.975</v>
      </c>
      <c r="X41" s="59">
        <f t="shared" si="7"/>
        <v>376.305</v>
      </c>
      <c r="Y41" s="59">
        <f t="shared" si="8"/>
        <v>119.405</v>
      </c>
      <c r="AA41" s="68"/>
      <c r="AB41" s="69"/>
      <c r="AD41" s="68"/>
    </row>
    <row r="42" s="4" customFormat="1" ht="18.75" spans="1:30">
      <c r="A42" s="51">
        <v>30</v>
      </c>
      <c r="B42" s="52"/>
      <c r="C42" s="53"/>
      <c r="D42" s="54" t="s">
        <v>92</v>
      </c>
      <c r="E42" s="55" t="s">
        <v>99</v>
      </c>
      <c r="F42" s="55">
        <v>90184900</v>
      </c>
      <c r="G42" s="77"/>
      <c r="H42" s="56">
        <v>2</v>
      </c>
      <c r="I42" s="56" t="s">
        <v>81</v>
      </c>
      <c r="J42" s="57"/>
      <c r="K42" s="56">
        <v>1</v>
      </c>
      <c r="L42" s="58">
        <f t="shared" si="1"/>
        <v>2</v>
      </c>
      <c r="M42" s="59">
        <f t="shared" si="2"/>
        <v>190.6</v>
      </c>
      <c r="N42" s="60">
        <v>192.74</v>
      </c>
      <c r="O42" s="61">
        <f t="shared" si="3"/>
        <v>217.11</v>
      </c>
      <c r="P42" s="62">
        <f t="shared" si="4"/>
        <v>26.51</v>
      </c>
      <c r="Q42" s="63">
        <v>10.96</v>
      </c>
      <c r="R42" s="64">
        <v>0.05</v>
      </c>
      <c r="S42" s="65">
        <f t="shared" si="5"/>
        <v>37.47</v>
      </c>
      <c r="T42" s="75">
        <v>0.075</v>
      </c>
      <c r="U42" s="62">
        <f>14.46+9.64</f>
        <v>24.1</v>
      </c>
      <c r="V42" s="66">
        <v>0.1</v>
      </c>
      <c r="W42" s="67">
        <f t="shared" si="6"/>
        <v>2.41</v>
      </c>
      <c r="X42" s="59">
        <f t="shared" si="7"/>
        <v>228.07</v>
      </c>
      <c r="Y42" s="59">
        <f t="shared" si="8"/>
        <v>108.555</v>
      </c>
      <c r="AA42" s="68"/>
      <c r="AB42" s="69"/>
      <c r="AD42" s="68"/>
    </row>
    <row r="43" s="4" customFormat="1" ht="18.75" spans="1:30">
      <c r="A43" s="51">
        <v>31</v>
      </c>
      <c r="B43" s="52"/>
      <c r="C43" s="53"/>
      <c r="D43" s="54" t="s">
        <v>92</v>
      </c>
      <c r="E43" s="55" t="s">
        <v>100</v>
      </c>
      <c r="F43" s="55">
        <v>90184900</v>
      </c>
      <c r="G43" s="77"/>
      <c r="H43" s="56">
        <v>120</v>
      </c>
      <c r="I43" s="56" t="s">
        <v>81</v>
      </c>
      <c r="J43" s="57"/>
      <c r="K43" s="56">
        <v>0.12</v>
      </c>
      <c r="L43" s="58">
        <f t="shared" si="1"/>
        <v>14.4</v>
      </c>
      <c r="M43" s="59">
        <f t="shared" si="2"/>
        <v>1372.32</v>
      </c>
      <c r="N43" s="60">
        <v>1387.76</v>
      </c>
      <c r="O43" s="61">
        <f t="shared" si="3"/>
        <v>1563.137</v>
      </c>
      <c r="P43" s="62">
        <f t="shared" si="4"/>
        <v>190.817</v>
      </c>
      <c r="Q43" s="63">
        <v>78.93</v>
      </c>
      <c r="R43" s="64">
        <v>0.05</v>
      </c>
      <c r="S43" s="65">
        <f t="shared" si="5"/>
        <v>269.747</v>
      </c>
      <c r="T43" s="75">
        <v>0.075</v>
      </c>
      <c r="U43" s="62">
        <f>104.08+69.39</f>
        <v>173.47</v>
      </c>
      <c r="V43" s="66">
        <v>0.1</v>
      </c>
      <c r="W43" s="67">
        <f t="shared" si="6"/>
        <v>17.347</v>
      </c>
      <c r="X43" s="59">
        <f t="shared" si="7"/>
        <v>1642.067</v>
      </c>
      <c r="Y43" s="59">
        <f t="shared" si="8"/>
        <v>13.0261416666667</v>
      </c>
      <c r="AA43" s="68"/>
      <c r="AB43" s="69"/>
      <c r="AD43" s="68"/>
    </row>
    <row r="44" s="4" customFormat="1" ht="18.75" spans="1:30">
      <c r="A44" s="51">
        <v>32</v>
      </c>
      <c r="B44" s="52"/>
      <c r="C44" s="53"/>
      <c r="D44" s="54" t="s">
        <v>92</v>
      </c>
      <c r="E44" s="55" t="s">
        <v>101</v>
      </c>
      <c r="F44" s="55">
        <v>90184900</v>
      </c>
      <c r="G44" s="77"/>
      <c r="H44" s="56">
        <v>10</v>
      </c>
      <c r="I44" s="56" t="s">
        <v>81</v>
      </c>
      <c r="J44" s="57"/>
      <c r="K44" s="56">
        <v>0.4</v>
      </c>
      <c r="L44" s="58">
        <f t="shared" si="1"/>
        <v>4</v>
      </c>
      <c r="M44" s="59">
        <f t="shared" si="2"/>
        <v>381.2</v>
      </c>
      <c r="N44" s="60">
        <v>385.49</v>
      </c>
      <c r="O44" s="61">
        <f t="shared" si="3"/>
        <v>434.198</v>
      </c>
      <c r="P44" s="62">
        <f t="shared" si="4"/>
        <v>52.998</v>
      </c>
      <c r="Q44" s="63">
        <v>21.92</v>
      </c>
      <c r="R44" s="64">
        <v>0.05</v>
      </c>
      <c r="S44" s="65">
        <f t="shared" si="5"/>
        <v>74.918</v>
      </c>
      <c r="T44" s="75">
        <v>0.075</v>
      </c>
      <c r="U44" s="62">
        <f>28.91+19.27</f>
        <v>48.18</v>
      </c>
      <c r="V44" s="66">
        <v>0.1</v>
      </c>
      <c r="W44" s="67">
        <f t="shared" si="6"/>
        <v>4.818</v>
      </c>
      <c r="X44" s="59">
        <f t="shared" si="7"/>
        <v>456.118</v>
      </c>
      <c r="Y44" s="59">
        <f t="shared" si="8"/>
        <v>43.4198</v>
      </c>
      <c r="AA44" s="68"/>
      <c r="AB44" s="69"/>
      <c r="AD44" s="68"/>
    </row>
    <row r="45" s="4" customFormat="1" ht="18.75" spans="1:30">
      <c r="A45" s="51">
        <v>33</v>
      </c>
      <c r="B45" s="52"/>
      <c r="C45" s="53"/>
      <c r="D45" s="54" t="s">
        <v>92</v>
      </c>
      <c r="E45" s="55" t="s">
        <v>102</v>
      </c>
      <c r="F45" s="55">
        <v>90184900</v>
      </c>
      <c r="G45" s="77"/>
      <c r="H45" s="56">
        <v>10</v>
      </c>
      <c r="I45" s="56" t="s">
        <v>81</v>
      </c>
      <c r="J45" s="57"/>
      <c r="K45" s="56">
        <v>0.6</v>
      </c>
      <c r="L45" s="58">
        <f t="shared" si="1"/>
        <v>6</v>
      </c>
      <c r="M45" s="59">
        <f t="shared" si="2"/>
        <v>571.8</v>
      </c>
      <c r="N45" s="60">
        <v>578.23</v>
      </c>
      <c r="O45" s="61">
        <f t="shared" si="3"/>
        <v>651.308</v>
      </c>
      <c r="P45" s="62">
        <f t="shared" si="4"/>
        <v>79.508</v>
      </c>
      <c r="Q45" s="63">
        <v>32.89</v>
      </c>
      <c r="R45" s="64">
        <v>0.05</v>
      </c>
      <c r="S45" s="65">
        <f t="shared" si="5"/>
        <v>112.398</v>
      </c>
      <c r="T45" s="75">
        <v>0.075</v>
      </c>
      <c r="U45" s="62">
        <f>43.37+28.91</f>
        <v>72.28</v>
      </c>
      <c r="V45" s="66">
        <v>0.1</v>
      </c>
      <c r="W45" s="67">
        <f t="shared" si="6"/>
        <v>7.228</v>
      </c>
      <c r="X45" s="59">
        <f t="shared" si="7"/>
        <v>684.198</v>
      </c>
      <c r="Y45" s="59">
        <f t="shared" si="8"/>
        <v>65.1308</v>
      </c>
      <c r="AA45" s="68"/>
      <c r="AB45" s="69"/>
      <c r="AD45" s="68"/>
    </row>
    <row r="46" s="4" customFormat="1" ht="18.75" spans="1:30">
      <c r="A46" s="51">
        <v>34</v>
      </c>
      <c r="B46" s="52"/>
      <c r="C46" s="53"/>
      <c r="D46" s="54" t="s">
        <v>92</v>
      </c>
      <c r="E46" s="55" t="s">
        <v>103</v>
      </c>
      <c r="F46" s="55">
        <v>90184900</v>
      </c>
      <c r="G46" s="77"/>
      <c r="H46" s="56">
        <v>10</v>
      </c>
      <c r="I46" s="56" t="s">
        <v>81</v>
      </c>
      <c r="J46" s="57"/>
      <c r="K46" s="56">
        <v>1.3</v>
      </c>
      <c r="L46" s="58">
        <f t="shared" si="1"/>
        <v>13</v>
      </c>
      <c r="M46" s="59">
        <f t="shared" si="2"/>
        <v>1238.9</v>
      </c>
      <c r="N46" s="60">
        <v>1252.84</v>
      </c>
      <c r="O46" s="61">
        <f t="shared" si="3"/>
        <v>1411.16</v>
      </c>
      <c r="P46" s="62">
        <f t="shared" si="4"/>
        <v>172.26</v>
      </c>
      <c r="Q46" s="63">
        <v>71.26</v>
      </c>
      <c r="R46" s="64">
        <v>0.05</v>
      </c>
      <c r="S46" s="65">
        <f t="shared" si="5"/>
        <v>243.52</v>
      </c>
      <c r="T46" s="75">
        <v>0.075</v>
      </c>
      <c r="U46" s="62">
        <f>93.96+62.64</f>
        <v>156.6</v>
      </c>
      <c r="V46" s="66">
        <v>0.1</v>
      </c>
      <c r="W46" s="67">
        <f t="shared" si="6"/>
        <v>15.66</v>
      </c>
      <c r="X46" s="59">
        <f t="shared" si="7"/>
        <v>1482.42</v>
      </c>
      <c r="Y46" s="59">
        <f t="shared" si="8"/>
        <v>141.116</v>
      </c>
      <c r="AA46" s="68"/>
      <c r="AB46" s="69"/>
      <c r="AD46" s="68"/>
    </row>
    <row r="47" s="4" customFormat="1" ht="18.75" spans="1:30">
      <c r="A47" s="51">
        <v>35</v>
      </c>
      <c r="B47" s="52"/>
      <c r="C47" s="53"/>
      <c r="D47" s="54" t="s">
        <v>92</v>
      </c>
      <c r="E47" s="55" t="s">
        <v>104</v>
      </c>
      <c r="F47" s="55">
        <v>90184900</v>
      </c>
      <c r="G47" s="77"/>
      <c r="H47" s="56">
        <v>10</v>
      </c>
      <c r="I47" s="56" t="s">
        <v>81</v>
      </c>
      <c r="J47" s="57"/>
      <c r="K47" s="56">
        <v>1.5</v>
      </c>
      <c r="L47" s="58">
        <f t="shared" si="1"/>
        <v>15</v>
      </c>
      <c r="M47" s="59">
        <f t="shared" si="2"/>
        <v>1429.5</v>
      </c>
      <c r="N47" s="60">
        <v>1445.58</v>
      </c>
      <c r="O47" s="61">
        <f t="shared" si="3"/>
        <v>1628.27</v>
      </c>
      <c r="P47" s="62">
        <f t="shared" si="4"/>
        <v>198.77</v>
      </c>
      <c r="Q47" s="63">
        <v>82.22</v>
      </c>
      <c r="R47" s="64">
        <v>0.05</v>
      </c>
      <c r="S47" s="65">
        <f t="shared" si="5"/>
        <v>280.99</v>
      </c>
      <c r="T47" s="75">
        <v>0.075</v>
      </c>
      <c r="U47" s="62">
        <f>108.42+72.28</f>
        <v>180.7</v>
      </c>
      <c r="V47" s="66">
        <v>0.1</v>
      </c>
      <c r="W47" s="67">
        <f t="shared" si="6"/>
        <v>18.07</v>
      </c>
      <c r="X47" s="59">
        <f t="shared" si="7"/>
        <v>1710.49</v>
      </c>
      <c r="Y47" s="59">
        <f t="shared" si="8"/>
        <v>162.827</v>
      </c>
      <c r="AA47" s="68"/>
      <c r="AB47" s="69"/>
      <c r="AD47" s="68"/>
    </row>
    <row r="48" s="4" customFormat="1" ht="18.75" spans="1:30">
      <c r="A48" s="51">
        <v>36</v>
      </c>
      <c r="B48" s="52"/>
      <c r="C48" s="53"/>
      <c r="D48" s="54" t="s">
        <v>92</v>
      </c>
      <c r="E48" s="55" t="s">
        <v>105</v>
      </c>
      <c r="F48" s="55">
        <v>90184900</v>
      </c>
      <c r="G48" s="77"/>
      <c r="H48" s="56">
        <v>5</v>
      </c>
      <c r="I48" s="56" t="s">
        <v>81</v>
      </c>
      <c r="J48" s="57"/>
      <c r="K48" s="56">
        <v>1.7</v>
      </c>
      <c r="L48" s="58">
        <f t="shared" si="1"/>
        <v>8.5</v>
      </c>
      <c r="M48" s="59">
        <f t="shared" si="2"/>
        <v>810.05</v>
      </c>
      <c r="N48" s="60">
        <v>819.16</v>
      </c>
      <c r="O48" s="61">
        <f t="shared" si="3"/>
        <v>922.69</v>
      </c>
      <c r="P48" s="62">
        <f t="shared" si="4"/>
        <v>112.64</v>
      </c>
      <c r="Q48" s="63">
        <v>46.59</v>
      </c>
      <c r="R48" s="64">
        <v>0.05</v>
      </c>
      <c r="S48" s="65">
        <f t="shared" si="5"/>
        <v>159.23</v>
      </c>
      <c r="T48" s="75">
        <v>0.075</v>
      </c>
      <c r="U48" s="62">
        <f>61.44+40.96</f>
        <v>102.4</v>
      </c>
      <c r="V48" s="66">
        <v>0.1</v>
      </c>
      <c r="W48" s="67">
        <f t="shared" si="6"/>
        <v>10.24</v>
      </c>
      <c r="X48" s="59">
        <f t="shared" si="7"/>
        <v>969.28</v>
      </c>
      <c r="Y48" s="59">
        <f t="shared" si="8"/>
        <v>184.538</v>
      </c>
      <c r="AA48" s="68"/>
      <c r="AB48" s="69"/>
      <c r="AD48" s="68"/>
    </row>
    <row r="49" s="4" customFormat="1" ht="18.75" spans="1:30">
      <c r="A49" s="51">
        <v>37</v>
      </c>
      <c r="B49" s="52"/>
      <c r="C49" s="53"/>
      <c r="D49" s="54" t="s">
        <v>92</v>
      </c>
      <c r="E49" s="55" t="s">
        <v>106</v>
      </c>
      <c r="F49" s="55">
        <v>90184900</v>
      </c>
      <c r="G49" s="77"/>
      <c r="H49" s="56">
        <v>20</v>
      </c>
      <c r="I49" s="56" t="s">
        <v>81</v>
      </c>
      <c r="J49" s="57"/>
      <c r="K49" s="56">
        <v>0.8</v>
      </c>
      <c r="L49" s="58">
        <f t="shared" si="1"/>
        <v>16</v>
      </c>
      <c r="M49" s="59">
        <f t="shared" si="2"/>
        <v>1524.8</v>
      </c>
      <c r="N49" s="60">
        <v>1541.95</v>
      </c>
      <c r="O49" s="61">
        <f t="shared" si="3"/>
        <v>1736.825</v>
      </c>
      <c r="P49" s="62">
        <f t="shared" si="4"/>
        <v>212.025</v>
      </c>
      <c r="Q49" s="63">
        <v>87.7</v>
      </c>
      <c r="R49" s="64">
        <v>0.05</v>
      </c>
      <c r="S49" s="65">
        <f t="shared" si="5"/>
        <v>299.725</v>
      </c>
      <c r="T49" s="75">
        <v>0.075</v>
      </c>
      <c r="U49" s="62">
        <f>115.65+77.1</f>
        <v>192.75</v>
      </c>
      <c r="V49" s="66">
        <v>0.1</v>
      </c>
      <c r="W49" s="67">
        <f t="shared" si="6"/>
        <v>19.275</v>
      </c>
      <c r="X49" s="59">
        <f t="shared" si="7"/>
        <v>1824.525</v>
      </c>
      <c r="Y49" s="59">
        <f t="shared" si="8"/>
        <v>86.84125</v>
      </c>
      <c r="AA49" s="68"/>
      <c r="AB49" s="69"/>
      <c r="AD49" s="68"/>
    </row>
    <row r="50" s="4" customFormat="1" ht="18.75" spans="1:30">
      <c r="A50" s="51">
        <v>38</v>
      </c>
      <c r="B50" s="52"/>
      <c r="C50" s="53"/>
      <c r="D50" s="54" t="s">
        <v>92</v>
      </c>
      <c r="E50" s="55" t="s">
        <v>107</v>
      </c>
      <c r="F50" s="55">
        <v>90184900</v>
      </c>
      <c r="G50" s="77"/>
      <c r="H50" s="56">
        <v>10</v>
      </c>
      <c r="I50" s="56" t="s">
        <v>81</v>
      </c>
      <c r="J50" s="57"/>
      <c r="K50" s="56">
        <v>0.6</v>
      </c>
      <c r="L50" s="58">
        <f t="shared" si="1"/>
        <v>6</v>
      </c>
      <c r="M50" s="59">
        <f t="shared" si="2"/>
        <v>571.8</v>
      </c>
      <c r="N50" s="60">
        <v>578.23</v>
      </c>
      <c r="O50" s="61">
        <f t="shared" si="3"/>
        <v>651.308</v>
      </c>
      <c r="P50" s="62">
        <f t="shared" si="4"/>
        <v>79.508</v>
      </c>
      <c r="Q50" s="63">
        <v>32.89</v>
      </c>
      <c r="R50" s="64">
        <v>0.05</v>
      </c>
      <c r="S50" s="65">
        <f t="shared" si="5"/>
        <v>112.398</v>
      </c>
      <c r="T50" s="75">
        <v>0.075</v>
      </c>
      <c r="U50" s="62">
        <f>43.37+28.91</f>
        <v>72.28</v>
      </c>
      <c r="V50" s="66">
        <v>0.1</v>
      </c>
      <c r="W50" s="67">
        <f t="shared" si="6"/>
        <v>7.228</v>
      </c>
      <c r="X50" s="59">
        <f t="shared" si="7"/>
        <v>684.198</v>
      </c>
      <c r="Y50" s="59">
        <f t="shared" si="8"/>
        <v>65.1308</v>
      </c>
      <c r="AA50" s="68"/>
      <c r="AB50" s="69"/>
      <c r="AD50" s="68"/>
    </row>
    <row r="51" s="4" customFormat="1" ht="18.75" spans="1:30">
      <c r="A51" s="51">
        <v>39</v>
      </c>
      <c r="B51" s="52"/>
      <c r="C51" s="53"/>
      <c r="D51" s="54" t="s">
        <v>92</v>
      </c>
      <c r="E51" s="55" t="s">
        <v>108</v>
      </c>
      <c r="F51" s="55">
        <v>90184900</v>
      </c>
      <c r="G51" s="77"/>
      <c r="H51" s="56">
        <v>10</v>
      </c>
      <c r="I51" s="56" t="s">
        <v>81</v>
      </c>
      <c r="J51" s="57"/>
      <c r="K51" s="56">
        <v>0.8</v>
      </c>
      <c r="L51" s="58">
        <f t="shared" si="1"/>
        <v>8</v>
      </c>
      <c r="M51" s="59">
        <f t="shared" si="2"/>
        <v>762.4</v>
      </c>
      <c r="N51" s="60">
        <v>770.98</v>
      </c>
      <c r="O51" s="61">
        <f t="shared" si="3"/>
        <v>868.407</v>
      </c>
      <c r="P51" s="62">
        <f t="shared" si="4"/>
        <v>106.007</v>
      </c>
      <c r="Q51" s="63">
        <v>43.85</v>
      </c>
      <c r="R51" s="64">
        <v>0.05</v>
      </c>
      <c r="S51" s="65">
        <f t="shared" si="5"/>
        <v>149.857</v>
      </c>
      <c r="T51" s="75">
        <v>0.075</v>
      </c>
      <c r="U51" s="62">
        <f>57.82+38.55</f>
        <v>96.37</v>
      </c>
      <c r="V51" s="66">
        <v>0.1</v>
      </c>
      <c r="W51" s="67">
        <f t="shared" si="6"/>
        <v>9.637</v>
      </c>
      <c r="X51" s="59">
        <f t="shared" si="7"/>
        <v>912.257</v>
      </c>
      <c r="Y51" s="59">
        <f t="shared" si="8"/>
        <v>86.8407</v>
      </c>
      <c r="AA51" s="68"/>
      <c r="AB51" s="69"/>
      <c r="AD51" s="68"/>
    </row>
    <row r="52" s="4" customFormat="1" ht="18.75" spans="1:30">
      <c r="A52" s="51">
        <v>40</v>
      </c>
      <c r="B52" s="52"/>
      <c r="C52" s="53"/>
      <c r="D52" s="54" t="s">
        <v>92</v>
      </c>
      <c r="E52" s="55" t="s">
        <v>109</v>
      </c>
      <c r="F52" s="55">
        <v>90184900</v>
      </c>
      <c r="G52" s="77"/>
      <c r="H52" s="56">
        <v>10</v>
      </c>
      <c r="I52" s="56" t="s">
        <v>81</v>
      </c>
      <c r="J52" s="57"/>
      <c r="K52" s="56">
        <v>0.5</v>
      </c>
      <c r="L52" s="58">
        <f t="shared" si="1"/>
        <v>5</v>
      </c>
      <c r="M52" s="59">
        <f t="shared" si="2"/>
        <v>476.5</v>
      </c>
      <c r="N52" s="60">
        <v>481.86</v>
      </c>
      <c r="O52" s="61">
        <f t="shared" si="3"/>
        <v>542.753</v>
      </c>
      <c r="P52" s="62">
        <f t="shared" si="4"/>
        <v>66.253</v>
      </c>
      <c r="Q52" s="63">
        <v>27.41</v>
      </c>
      <c r="R52" s="64">
        <v>0.05</v>
      </c>
      <c r="S52" s="65">
        <f t="shared" si="5"/>
        <v>93.663</v>
      </c>
      <c r="T52" s="75">
        <v>0.075</v>
      </c>
      <c r="U52" s="62">
        <f>36.14+24.09</f>
        <v>60.23</v>
      </c>
      <c r="V52" s="66">
        <v>0.1</v>
      </c>
      <c r="W52" s="67">
        <f t="shared" si="6"/>
        <v>6.023</v>
      </c>
      <c r="X52" s="59">
        <f t="shared" si="7"/>
        <v>570.163</v>
      </c>
      <c r="Y52" s="59">
        <f t="shared" si="8"/>
        <v>54.2753</v>
      </c>
      <c r="AA52" s="68"/>
      <c r="AB52" s="69"/>
      <c r="AD52" s="68"/>
    </row>
    <row r="53" s="4" customFormat="1" ht="18.75" spans="1:30">
      <c r="A53" s="51">
        <v>41</v>
      </c>
      <c r="B53" s="52"/>
      <c r="C53" s="53"/>
      <c r="D53" s="54" t="s">
        <v>92</v>
      </c>
      <c r="E53" s="55" t="s">
        <v>110</v>
      </c>
      <c r="F53" s="55">
        <v>90184900</v>
      </c>
      <c r="G53" s="77"/>
      <c r="H53" s="56">
        <v>10</v>
      </c>
      <c r="I53" s="56" t="s">
        <v>81</v>
      </c>
      <c r="J53" s="57"/>
      <c r="K53" s="56">
        <v>1.1</v>
      </c>
      <c r="L53" s="58">
        <f t="shared" si="1"/>
        <v>11</v>
      </c>
      <c r="M53" s="59">
        <f t="shared" si="2"/>
        <v>1048.3</v>
      </c>
      <c r="N53" s="60">
        <v>1060.09</v>
      </c>
      <c r="O53" s="61">
        <f t="shared" si="3"/>
        <v>1194.061</v>
      </c>
      <c r="P53" s="62">
        <f t="shared" si="4"/>
        <v>145.761</v>
      </c>
      <c r="Q53" s="63">
        <v>60.29</v>
      </c>
      <c r="R53" s="64">
        <v>0.05</v>
      </c>
      <c r="S53" s="65">
        <f t="shared" si="5"/>
        <v>206.051</v>
      </c>
      <c r="T53" s="75">
        <v>0.075</v>
      </c>
      <c r="U53" s="62">
        <f>79.51+53</f>
        <v>132.51</v>
      </c>
      <c r="V53" s="66">
        <v>0.1</v>
      </c>
      <c r="W53" s="67">
        <f t="shared" si="6"/>
        <v>13.251</v>
      </c>
      <c r="X53" s="59">
        <f t="shared" si="7"/>
        <v>1254.351</v>
      </c>
      <c r="Y53" s="59">
        <f t="shared" si="8"/>
        <v>119.4061</v>
      </c>
      <c r="AA53" s="68"/>
      <c r="AB53" s="69"/>
      <c r="AD53" s="68"/>
    </row>
    <row r="54" s="4" customFormat="1" ht="18.75" spans="1:30">
      <c r="A54" s="51">
        <v>42</v>
      </c>
      <c r="B54" s="52"/>
      <c r="C54" s="53"/>
      <c r="D54" s="54" t="s">
        <v>92</v>
      </c>
      <c r="E54" s="55" t="s">
        <v>111</v>
      </c>
      <c r="F54" s="55">
        <v>90184900</v>
      </c>
      <c r="G54" s="77"/>
      <c r="H54" s="56">
        <v>10</v>
      </c>
      <c r="I54" s="56" t="s">
        <v>81</v>
      </c>
      <c r="J54" s="57"/>
      <c r="K54" s="56">
        <v>0.8</v>
      </c>
      <c r="L54" s="58">
        <f t="shared" si="1"/>
        <v>8</v>
      </c>
      <c r="M54" s="59">
        <f t="shared" si="2"/>
        <v>762.4</v>
      </c>
      <c r="N54" s="60">
        <v>770.98</v>
      </c>
      <c r="O54" s="61">
        <f t="shared" si="3"/>
        <v>868.407</v>
      </c>
      <c r="P54" s="62">
        <f t="shared" si="4"/>
        <v>106.007</v>
      </c>
      <c r="Q54" s="63">
        <v>43.85</v>
      </c>
      <c r="R54" s="64">
        <v>0.05</v>
      </c>
      <c r="S54" s="65">
        <f t="shared" si="5"/>
        <v>149.857</v>
      </c>
      <c r="T54" s="75">
        <v>0.075</v>
      </c>
      <c r="U54" s="62">
        <f>57.82+38.55</f>
        <v>96.37</v>
      </c>
      <c r="V54" s="66">
        <v>0.1</v>
      </c>
      <c r="W54" s="67">
        <f t="shared" si="6"/>
        <v>9.637</v>
      </c>
      <c r="X54" s="59">
        <f t="shared" si="7"/>
        <v>912.257</v>
      </c>
      <c r="Y54" s="59">
        <f t="shared" si="8"/>
        <v>86.8407</v>
      </c>
      <c r="AA54" s="68"/>
      <c r="AB54" s="69"/>
      <c r="AD54" s="68"/>
    </row>
    <row r="55" s="4" customFormat="1" ht="18.75" spans="1:30">
      <c r="A55" s="51">
        <v>43</v>
      </c>
      <c r="B55" s="52"/>
      <c r="C55" s="53"/>
      <c r="D55" s="54" t="s">
        <v>92</v>
      </c>
      <c r="E55" s="55" t="s">
        <v>112</v>
      </c>
      <c r="F55" s="55">
        <v>90184900</v>
      </c>
      <c r="G55" s="77"/>
      <c r="H55" s="56">
        <v>2</v>
      </c>
      <c r="I55" s="56" t="s">
        <v>81</v>
      </c>
      <c r="J55" s="57"/>
      <c r="K55" s="56">
        <v>2</v>
      </c>
      <c r="L55" s="58">
        <f t="shared" si="1"/>
        <v>4</v>
      </c>
      <c r="M55" s="59">
        <f t="shared" si="2"/>
        <v>381.2</v>
      </c>
      <c r="N55" s="60">
        <v>385.49</v>
      </c>
      <c r="O55" s="61">
        <f t="shared" si="3"/>
        <v>434.198</v>
      </c>
      <c r="P55" s="62">
        <f t="shared" si="4"/>
        <v>52.998</v>
      </c>
      <c r="Q55" s="63">
        <v>21.92</v>
      </c>
      <c r="R55" s="64">
        <v>0.05</v>
      </c>
      <c r="S55" s="65">
        <f t="shared" si="5"/>
        <v>74.918</v>
      </c>
      <c r="T55" s="75">
        <v>0.075</v>
      </c>
      <c r="U55" s="62">
        <f>28.91+19.27</f>
        <v>48.18</v>
      </c>
      <c r="V55" s="66">
        <v>0.1</v>
      </c>
      <c r="W55" s="67">
        <f t="shared" si="6"/>
        <v>4.818</v>
      </c>
      <c r="X55" s="59">
        <f t="shared" si="7"/>
        <v>456.118</v>
      </c>
      <c r="Y55" s="59">
        <f t="shared" si="8"/>
        <v>217.099</v>
      </c>
      <c r="AA55" s="68"/>
      <c r="AB55" s="69"/>
      <c r="AD55" s="68"/>
    </row>
    <row r="56" s="4" customFormat="1" ht="18.75" spans="1:30">
      <c r="A56" s="51">
        <v>44</v>
      </c>
      <c r="B56" s="52"/>
      <c r="C56" s="53"/>
      <c r="D56" s="54" t="s">
        <v>92</v>
      </c>
      <c r="E56" s="55" t="s">
        <v>113</v>
      </c>
      <c r="F56" s="55">
        <v>90184900</v>
      </c>
      <c r="G56" s="77"/>
      <c r="H56" s="56">
        <v>5</v>
      </c>
      <c r="I56" s="56" t="s">
        <v>81</v>
      </c>
      <c r="J56" s="57"/>
      <c r="K56" s="56">
        <v>2.2</v>
      </c>
      <c r="L56" s="58">
        <f t="shared" si="1"/>
        <v>11</v>
      </c>
      <c r="M56" s="59">
        <f t="shared" si="2"/>
        <v>1048.3</v>
      </c>
      <c r="N56" s="60">
        <v>1060.09</v>
      </c>
      <c r="O56" s="61">
        <f t="shared" si="3"/>
        <v>1194.061</v>
      </c>
      <c r="P56" s="62">
        <f t="shared" si="4"/>
        <v>145.761</v>
      </c>
      <c r="Q56" s="63">
        <v>60.29</v>
      </c>
      <c r="R56" s="64">
        <v>0.05</v>
      </c>
      <c r="S56" s="65">
        <f t="shared" si="5"/>
        <v>206.051</v>
      </c>
      <c r="T56" s="75">
        <v>0.075</v>
      </c>
      <c r="U56" s="62">
        <f>79.51+53</f>
        <v>132.51</v>
      </c>
      <c r="V56" s="66">
        <v>0.1</v>
      </c>
      <c r="W56" s="67">
        <f t="shared" si="6"/>
        <v>13.251</v>
      </c>
      <c r="X56" s="59">
        <f t="shared" si="7"/>
        <v>1254.351</v>
      </c>
      <c r="Y56" s="59">
        <f t="shared" si="8"/>
        <v>238.8122</v>
      </c>
      <c r="AA56" s="68"/>
      <c r="AB56" s="69"/>
      <c r="AD56" s="68"/>
    </row>
    <row r="57" s="4" customFormat="1" ht="18.75" spans="1:30">
      <c r="A57" s="51">
        <v>45</v>
      </c>
      <c r="B57" s="52"/>
      <c r="C57" s="53"/>
      <c r="D57" s="54" t="s">
        <v>92</v>
      </c>
      <c r="E57" s="55" t="s">
        <v>114</v>
      </c>
      <c r="F57" s="55">
        <v>90184900</v>
      </c>
      <c r="G57" s="78"/>
      <c r="H57" s="56">
        <v>81</v>
      </c>
      <c r="I57" s="56" t="s">
        <v>81</v>
      </c>
      <c r="J57" s="57"/>
      <c r="K57" s="56">
        <v>0.2</v>
      </c>
      <c r="L57" s="58">
        <f t="shared" si="1"/>
        <v>16.2</v>
      </c>
      <c r="M57" s="59">
        <f t="shared" si="2"/>
        <v>1543.86</v>
      </c>
      <c r="N57" s="60">
        <v>1561.23</v>
      </c>
      <c r="O57" s="61">
        <f t="shared" si="3"/>
        <v>1758.525</v>
      </c>
      <c r="P57" s="62">
        <f t="shared" si="4"/>
        <v>214.665</v>
      </c>
      <c r="Q57" s="63">
        <v>88.79</v>
      </c>
      <c r="R57" s="64">
        <v>0.05</v>
      </c>
      <c r="S57" s="65">
        <f t="shared" si="5"/>
        <v>303.455</v>
      </c>
      <c r="T57" s="75">
        <v>0.075</v>
      </c>
      <c r="U57" s="62">
        <f>117.09+78.06</f>
        <v>195.15</v>
      </c>
      <c r="V57" s="66">
        <v>0.1</v>
      </c>
      <c r="W57" s="67">
        <f t="shared" si="6"/>
        <v>19.515</v>
      </c>
      <c r="X57" s="59">
        <f t="shared" si="7"/>
        <v>1847.315</v>
      </c>
      <c r="Y57" s="59">
        <f t="shared" si="8"/>
        <v>21.7101851851852</v>
      </c>
      <c r="AA57" s="68"/>
      <c r="AB57" s="69"/>
      <c r="AD57" s="68"/>
    </row>
    <row r="58" s="4" customFormat="1" ht="18.75" spans="1:30">
      <c r="A58" s="51"/>
      <c r="B58" s="79"/>
      <c r="C58" s="79"/>
      <c r="D58" s="80"/>
      <c r="E58" s="81"/>
      <c r="F58" s="55"/>
      <c r="G58" s="82"/>
      <c r="H58" s="56"/>
      <c r="I58" s="83"/>
      <c r="J58" s="59"/>
      <c r="K58" s="57"/>
      <c r="L58" s="84"/>
      <c r="M58" s="59"/>
      <c r="N58" s="85"/>
      <c r="O58" s="59"/>
      <c r="P58" s="86"/>
      <c r="Q58" s="87"/>
      <c r="R58" s="79"/>
      <c r="S58" s="65"/>
      <c r="T58" s="88"/>
      <c r="U58" s="89"/>
      <c r="V58" s="90"/>
      <c r="W58" s="89"/>
      <c r="X58" s="86"/>
      <c r="Y58" s="90"/>
      <c r="AA58" s="69"/>
      <c r="AB58" s="69"/>
    </row>
    <row r="59" s="4" customFormat="1" ht="18.75" spans="1:30">
      <c r="A59" s="51"/>
      <c r="B59" s="79"/>
      <c r="C59" s="79"/>
      <c r="D59" s="80"/>
      <c r="E59" s="81" t="s">
        <v>115</v>
      </c>
      <c r="F59" s="79"/>
      <c r="G59" s="82"/>
      <c r="H59" s="56"/>
      <c r="I59" s="91"/>
      <c r="J59" s="92"/>
      <c r="K59" s="57"/>
      <c r="L59" s="84"/>
      <c r="M59" s="66"/>
      <c r="N59" s="91"/>
      <c r="O59" s="66"/>
      <c r="P59" s="93"/>
      <c r="Q59" s="87"/>
      <c r="R59" s="66"/>
      <c r="S59" s="90"/>
      <c r="T59" s="88"/>
      <c r="U59" s="89"/>
      <c r="V59" s="90"/>
      <c r="W59" s="89"/>
      <c r="X59" s="86"/>
      <c r="Y59" s="90"/>
      <c r="AA59" s="69"/>
      <c r="AB59" s="69"/>
    </row>
    <row r="60" s="4" customFormat="1" ht="18.75" spans="1:30">
      <c r="A60" s="94"/>
      <c r="B60" s="95"/>
      <c r="C60" s="95"/>
      <c r="D60" s="96"/>
      <c r="E60" s="97"/>
      <c r="F60" s="57"/>
      <c r="G60" s="57"/>
      <c r="H60" s="56"/>
      <c r="I60" s="98"/>
      <c r="J60" s="99"/>
      <c r="K60" s="57"/>
      <c r="L60" s="100"/>
      <c r="M60" s="101"/>
      <c r="N60" s="102"/>
      <c r="O60" s="98"/>
      <c r="P60" s="103"/>
      <c r="Q60" s="104"/>
      <c r="R60" s="97"/>
      <c r="S60" s="105"/>
      <c r="T60" s="105"/>
      <c r="U60" s="103"/>
      <c r="V60" s="105"/>
      <c r="W60" s="103"/>
      <c r="X60" s="97"/>
      <c r="Y60" s="105"/>
      <c r="AA60" s="69"/>
      <c r="AB60" s="69"/>
    </row>
    <row r="61" s="4" customFormat="1" ht="18.75" spans="1:30">
      <c r="A61" s="94"/>
      <c r="B61" s="95"/>
      <c r="C61" s="95"/>
      <c r="D61" s="96"/>
      <c r="E61" s="97"/>
      <c r="F61" s="57"/>
      <c r="G61" s="106">
        <f>SUM(G13:G59)</f>
        <v>1357</v>
      </c>
      <c r="H61" s="56"/>
      <c r="I61" s="98"/>
      <c r="J61" s="98"/>
      <c r="K61" s="98"/>
      <c r="L61" s="107">
        <f t="shared" ref="L61:P61" si="11">SUM(L13:L59)</f>
        <v>20671.32</v>
      </c>
      <c r="M61" s="102">
        <f t="shared" si="11"/>
        <v>1969976.796</v>
      </c>
      <c r="N61" s="108">
        <f t="shared" si="11"/>
        <v>1992139.04</v>
      </c>
      <c r="O61" s="102">
        <f t="shared" si="11"/>
        <v>2205805.466</v>
      </c>
      <c r="P61" s="109">
        <f t="shared" si="11"/>
        <v>235828.67</v>
      </c>
      <c r="Q61" s="110">
        <f>SUM(Q13:Q57)</f>
        <v>388210.33</v>
      </c>
      <c r="R61" s="111"/>
      <c r="S61" s="112">
        <f t="shared" ref="S61:X61" si="12">SUM(S13:S59)</f>
        <v>624039</v>
      </c>
      <c r="T61" s="103"/>
      <c r="U61" s="112">
        <f t="shared" si="12"/>
        <v>214389.7</v>
      </c>
      <c r="V61" s="103"/>
      <c r="W61" s="112">
        <f t="shared" si="12"/>
        <v>21438.97</v>
      </c>
      <c r="X61" s="109">
        <f t="shared" si="12"/>
        <v>2594015.796</v>
      </c>
      <c r="Y61" s="103"/>
      <c r="AA61" s="69"/>
      <c r="AB61" s="69"/>
      <c r="AC61" s="72"/>
    </row>
    <row r="62" s="1" customFormat="1" ht="19.5" spans="1:30">
      <c r="A62" s="113"/>
      <c r="B62" s="114"/>
      <c r="C62" s="114"/>
      <c r="D62" s="114"/>
      <c r="E62" s="113"/>
      <c r="F62" s="113"/>
      <c r="G62" s="113"/>
      <c r="H62" s="115"/>
      <c r="I62" s="116"/>
      <c r="J62" s="116"/>
      <c r="K62" s="117"/>
      <c r="L62" s="118"/>
      <c r="M62" s="119"/>
      <c r="N62" s="120"/>
      <c r="O62" s="120"/>
      <c r="P62" s="120"/>
      <c r="Q62" s="121"/>
      <c r="R62" s="113"/>
      <c r="S62" s="117"/>
      <c r="T62" s="117"/>
      <c r="U62" s="117"/>
      <c r="V62" s="117"/>
      <c r="W62" s="120"/>
      <c r="X62" s="120"/>
      <c r="Y62" s="113"/>
      <c r="Z62" s="113"/>
      <c r="AA62" s="13"/>
      <c r="AB62" s="13"/>
    </row>
    <row r="63" s="5" customFormat="1" ht="15" spans="1:30">
      <c r="A63" s="122"/>
      <c r="B63" s="123"/>
      <c r="C63" s="123"/>
      <c r="D63" s="123"/>
      <c r="E63" s="122"/>
      <c r="F63" s="122"/>
      <c r="G63" s="122"/>
      <c r="H63" s="68"/>
      <c r="J63" s="122"/>
      <c r="K63" s="122"/>
      <c r="L63" s="124"/>
      <c r="M63" s="125"/>
      <c r="N63" s="124"/>
      <c r="O63" s="122"/>
      <c r="P63" s="124"/>
      <c r="Q63" s="126"/>
      <c r="R63" s="122"/>
      <c r="S63" s="124"/>
      <c r="T63" s="122"/>
      <c r="U63" s="124"/>
      <c r="W63" s="124"/>
      <c r="X63" s="122"/>
      <c r="Y63" s="122"/>
      <c r="Z63" s="122"/>
      <c r="AA63" s="127"/>
      <c r="AB63" s="127"/>
      <c r="AC63" s="124"/>
      <c r="AD63" s="122"/>
    </row>
    <row r="64" s="5" customFormat="1" spans="1:30">
      <c r="A64" s="122"/>
      <c r="B64" s="123"/>
      <c r="C64" s="123"/>
      <c r="D64" s="123"/>
      <c r="E64" s="122"/>
      <c r="F64" s="122"/>
      <c r="G64" s="122"/>
      <c r="H64" s="122"/>
      <c r="J64" s="122"/>
      <c r="K64" s="122"/>
      <c r="L64" s="124"/>
      <c r="M64" s="125"/>
      <c r="N64" s="124"/>
      <c r="O64" s="126"/>
      <c r="P64" s="126"/>
      <c r="Q64" s="126"/>
      <c r="R64" s="126"/>
      <c r="S64" s="126"/>
      <c r="T64" s="126"/>
      <c r="U64" s="126"/>
      <c r="V64" s="126"/>
      <c r="W64" s="126"/>
      <c r="X64" s="122"/>
      <c r="Y64" s="122"/>
      <c r="Z64" s="122"/>
      <c r="AA64" s="127"/>
      <c r="AB64" s="127"/>
      <c r="AC64" s="124"/>
      <c r="AD64" s="122"/>
    </row>
    <row r="65" s="5" customFormat="1" spans="1:37">
      <c r="A65" s="122"/>
      <c r="B65" s="123"/>
      <c r="D65" s="123"/>
      <c r="E65" s="122"/>
      <c r="F65" s="122"/>
      <c r="G65" s="122"/>
      <c r="H65" s="122"/>
      <c r="J65" s="122"/>
      <c r="K65" s="122"/>
      <c r="L65" s="124"/>
      <c r="M65" s="125"/>
      <c r="N65" s="124"/>
      <c r="O65" s="122"/>
      <c r="P65" s="122"/>
      <c r="Q65" s="126"/>
      <c r="R65" s="122"/>
      <c r="S65" s="124"/>
      <c r="T65" s="122"/>
      <c r="U65" s="124"/>
      <c r="V65" s="124"/>
      <c r="W65" s="124"/>
      <c r="X65" s="122"/>
      <c r="Y65" s="122"/>
      <c r="Z65" s="122"/>
      <c r="AA65" s="127"/>
      <c r="AB65" s="127"/>
      <c r="AC65" s="124"/>
      <c r="AD65" s="122"/>
    </row>
    <row r="66" s="5" customFormat="1" spans="1:37">
      <c r="A66" s="122"/>
      <c r="B66" s="123"/>
      <c r="D66" s="123"/>
      <c r="E66" s="122"/>
      <c r="F66" s="122"/>
      <c r="G66" s="122"/>
      <c r="H66" s="122"/>
      <c r="J66" s="122"/>
      <c r="K66" s="122"/>
      <c r="L66" s="124"/>
      <c r="M66" s="125"/>
      <c r="N66" s="124"/>
      <c r="O66" s="122"/>
      <c r="P66" s="122"/>
      <c r="Q66" s="126"/>
      <c r="R66" s="122"/>
      <c r="S66" s="124"/>
      <c r="T66" s="122"/>
      <c r="U66" s="124"/>
      <c r="V66" s="124"/>
      <c r="W66" s="124"/>
      <c r="X66" s="122"/>
      <c r="Y66" s="122"/>
      <c r="Z66" s="124"/>
      <c r="AA66" s="127"/>
      <c r="AB66" s="127"/>
      <c r="AC66" s="124"/>
      <c r="AD66" s="122"/>
    </row>
    <row r="67" s="5" customFormat="1" spans="1:37">
      <c r="A67" s="122"/>
      <c r="B67" s="123"/>
      <c r="C67" s="123"/>
      <c r="D67" s="123"/>
      <c r="E67" s="122"/>
      <c r="F67" s="122"/>
      <c r="G67" s="122"/>
      <c r="H67" s="122"/>
      <c r="J67" s="122"/>
      <c r="K67" s="122"/>
      <c r="L67" s="124"/>
      <c r="M67" s="125"/>
      <c r="N67" s="124"/>
      <c r="O67" s="122"/>
      <c r="P67" s="122"/>
      <c r="Q67" s="126"/>
      <c r="R67" s="122"/>
      <c r="S67" s="124"/>
      <c r="T67" s="122"/>
      <c r="U67" s="124"/>
      <c r="V67" s="124"/>
      <c r="W67" s="124"/>
      <c r="X67" s="122"/>
      <c r="Y67" s="122"/>
      <c r="Z67" s="122"/>
      <c r="AA67" s="127"/>
      <c r="AB67" s="127"/>
      <c r="AC67" s="124"/>
      <c r="AD67" s="122"/>
      <c r="AE67" s="128"/>
    </row>
    <row r="68" s="5" customFormat="1" spans="1:37">
      <c r="A68" s="122"/>
      <c r="B68" s="123"/>
      <c r="C68" s="123"/>
      <c r="D68" s="123"/>
      <c r="E68" s="122"/>
      <c r="F68" s="122"/>
      <c r="G68" s="122"/>
      <c r="H68" s="122"/>
      <c r="J68" s="122"/>
      <c r="K68" s="122"/>
      <c r="L68" s="124"/>
      <c r="M68" s="125"/>
      <c r="N68" s="124"/>
      <c r="O68" s="122"/>
      <c r="P68" s="122"/>
      <c r="Q68" s="126"/>
      <c r="R68" s="122"/>
      <c r="S68" s="124"/>
      <c r="T68" s="122"/>
      <c r="U68" s="124"/>
      <c r="V68" s="124"/>
      <c r="W68" s="124"/>
      <c r="X68" s="122"/>
      <c r="Y68" s="122"/>
      <c r="Z68" s="122"/>
      <c r="AA68" s="127"/>
      <c r="AB68" s="127"/>
      <c r="AC68" s="124"/>
      <c r="AD68" s="122"/>
    </row>
    <row r="69" s="5" customFormat="1" spans="1:37">
      <c r="A69" s="122"/>
      <c r="B69" s="123"/>
      <c r="C69" s="123"/>
      <c r="D69" s="123"/>
      <c r="E69" s="122"/>
      <c r="F69" s="122"/>
      <c r="G69" s="122"/>
      <c r="H69" s="122"/>
      <c r="J69" s="122"/>
      <c r="K69" s="122"/>
      <c r="L69" s="124"/>
      <c r="M69" s="125"/>
      <c r="N69" s="124"/>
      <c r="O69" s="122"/>
      <c r="P69" s="122"/>
      <c r="Q69" s="126"/>
      <c r="R69" s="122"/>
      <c r="S69" s="124"/>
      <c r="T69" s="122"/>
      <c r="U69" s="124"/>
      <c r="V69" s="124"/>
      <c r="W69" s="124"/>
      <c r="X69" s="122"/>
      <c r="Y69" s="122"/>
      <c r="Z69" s="122"/>
      <c r="AA69" s="127"/>
      <c r="AB69" s="127"/>
      <c r="AC69" s="124"/>
      <c r="AD69" s="122"/>
    </row>
    <row r="70" s="5" customFormat="1" spans="1:37">
      <c r="A70" s="122"/>
      <c r="B70" s="122"/>
      <c r="C70" s="122"/>
      <c r="D70" s="122"/>
      <c r="E70" s="122"/>
      <c r="F70" s="122"/>
      <c r="G70" s="129"/>
      <c r="H70" s="130"/>
      <c r="I70" s="131"/>
      <c r="J70" s="132"/>
      <c r="K70" s="133"/>
      <c r="L70" s="130"/>
      <c r="M70" s="131"/>
      <c r="N70" s="131"/>
      <c r="O70" s="131"/>
      <c r="P70" s="131"/>
      <c r="Q70" s="134"/>
      <c r="R70" s="131"/>
      <c r="S70" s="131"/>
      <c r="T70" s="131"/>
      <c r="U70" s="130"/>
      <c r="V70" s="130"/>
      <c r="W70" s="131"/>
      <c r="X70" s="131"/>
      <c r="Y70" s="130"/>
      <c r="Z70" s="130"/>
      <c r="AA70" s="135"/>
      <c r="AB70" s="135"/>
      <c r="AC70" s="136"/>
      <c r="AD70" s="137"/>
      <c r="AE70" s="122"/>
    </row>
    <row r="71" s="5" customFormat="1" spans="1:37">
      <c r="A71" s="122"/>
      <c r="B71" s="138" t="s">
        <v>116</v>
      </c>
      <c r="C71" s="138"/>
      <c r="D71" s="138"/>
      <c r="E71" s="139">
        <f>L61</f>
        <v>20671.32</v>
      </c>
      <c r="F71" s="122"/>
      <c r="G71" s="140" t="s">
        <v>117</v>
      </c>
      <c r="H71" s="140"/>
      <c r="I71" s="140"/>
      <c r="J71" s="140"/>
      <c r="K71" s="140"/>
      <c r="L71" s="140"/>
      <c r="M71" s="140"/>
      <c r="N71" s="140"/>
      <c r="O71" s="140"/>
      <c r="Q71" s="141" t="s">
        <v>118</v>
      </c>
      <c r="R71" s="142"/>
      <c r="S71" s="142"/>
      <c r="T71" s="142"/>
      <c r="U71" s="142"/>
      <c r="V71" s="142"/>
      <c r="W71" s="142"/>
      <c r="X71" s="143"/>
      <c r="Z71" s="144"/>
      <c r="AA71" s="145"/>
      <c r="AB71" s="127"/>
    </row>
    <row r="72" s="5" customFormat="1" spans="1:37">
      <c r="A72" s="122"/>
      <c r="B72" s="146" t="s">
        <v>119</v>
      </c>
      <c r="C72" s="146"/>
      <c r="D72" s="146"/>
      <c r="E72" s="147"/>
      <c r="F72" s="122"/>
      <c r="G72" s="148" t="s">
        <v>120</v>
      </c>
      <c r="H72" s="149" t="s">
        <v>22</v>
      </c>
      <c r="I72" s="149" t="s">
        <v>27</v>
      </c>
      <c r="J72" s="150" t="s">
        <v>121</v>
      </c>
      <c r="K72" s="148" t="s">
        <v>122</v>
      </c>
      <c r="L72" s="148" t="s">
        <v>123</v>
      </c>
      <c r="M72" s="148" t="s">
        <v>124</v>
      </c>
      <c r="N72" s="148" t="s">
        <v>125</v>
      </c>
      <c r="O72" s="148" t="s">
        <v>126</v>
      </c>
      <c r="Q72" s="151" t="s">
        <v>127</v>
      </c>
      <c r="R72" s="152" t="s">
        <v>22</v>
      </c>
      <c r="S72" s="153" t="s">
        <v>121</v>
      </c>
      <c r="T72" s="151" t="s">
        <v>128</v>
      </c>
      <c r="U72" s="151" t="s">
        <v>129</v>
      </c>
      <c r="V72" s="151" t="s">
        <v>124</v>
      </c>
      <c r="W72" s="151" t="s">
        <v>130</v>
      </c>
      <c r="X72" s="151" t="s">
        <v>131</v>
      </c>
      <c r="AA72" s="7"/>
      <c r="AB72" s="7"/>
      <c r="AC72" s="128"/>
    </row>
    <row r="73" s="5" customFormat="1" ht="15" spans="1:37">
      <c r="A73" s="122"/>
      <c r="B73" s="138" t="s">
        <v>132</v>
      </c>
      <c r="C73" s="138"/>
      <c r="D73" s="138"/>
      <c r="E73" s="154"/>
      <c r="F73" s="155"/>
      <c r="G73" s="156"/>
      <c r="H73" s="156"/>
      <c r="I73" s="156"/>
      <c r="J73" s="156"/>
      <c r="K73" s="157"/>
      <c r="L73" s="158"/>
      <c r="M73" s="158"/>
      <c r="N73" s="158"/>
      <c r="O73" s="157"/>
      <c r="Q73" s="157"/>
      <c r="R73" s="159"/>
      <c r="S73" s="160"/>
      <c r="T73" s="157"/>
      <c r="U73" s="161"/>
      <c r="V73" s="161"/>
      <c r="W73" s="162"/>
      <c r="X73" s="163"/>
      <c r="AA73" s="7"/>
      <c r="AB73" s="7"/>
      <c r="AC73" s="164"/>
      <c r="AD73" s="165"/>
      <c r="AE73" s="166"/>
      <c r="AF73" s="167"/>
      <c r="AG73" s="166"/>
      <c r="AH73" s="168"/>
      <c r="AI73" s="169"/>
      <c r="AJ73" s="168"/>
      <c r="AK73" s="170"/>
    </row>
    <row r="74" s="5" customFormat="1" ht="15" spans="1:37">
      <c r="A74" s="122"/>
      <c r="B74" s="138" t="s">
        <v>133</v>
      </c>
      <c r="C74" s="138"/>
      <c r="D74" s="138"/>
      <c r="E74" s="171"/>
      <c r="F74" s="155"/>
      <c r="G74" s="156"/>
      <c r="H74" s="156"/>
      <c r="I74" s="156"/>
      <c r="J74" s="156"/>
      <c r="K74" s="157"/>
      <c r="L74" s="158"/>
      <c r="M74" s="158"/>
      <c r="N74" s="158"/>
      <c r="O74" s="157"/>
      <c r="Q74" s="157"/>
      <c r="R74" s="162"/>
      <c r="S74" s="160"/>
      <c r="T74" s="157"/>
      <c r="U74" s="161"/>
      <c r="V74" s="161"/>
      <c r="W74" s="158"/>
      <c r="X74" s="163"/>
      <c r="AA74" s="7"/>
      <c r="AB74" s="7"/>
      <c r="AC74" s="164"/>
      <c r="AD74" s="165"/>
      <c r="AE74" s="166"/>
      <c r="AF74" s="167"/>
      <c r="AG74" s="166"/>
      <c r="AH74" s="168"/>
      <c r="AI74" s="169"/>
      <c r="AJ74" s="168"/>
      <c r="AK74" s="170"/>
    </row>
    <row r="75" s="5" customFormat="1" ht="15" spans="1:37">
      <c r="A75" s="122"/>
      <c r="B75" s="138" t="s">
        <v>134</v>
      </c>
      <c r="C75" s="138"/>
      <c r="D75" s="138"/>
      <c r="E75" s="156">
        <v>2050900</v>
      </c>
      <c r="F75" s="155"/>
      <c r="G75" s="156"/>
      <c r="H75" s="156"/>
      <c r="I75" s="156"/>
      <c r="J75" s="156"/>
      <c r="K75" s="157"/>
      <c r="L75" s="158"/>
      <c r="M75" s="158"/>
      <c r="N75" s="158"/>
      <c r="O75" s="157"/>
      <c r="Q75" s="157"/>
      <c r="R75" s="172"/>
      <c r="S75" s="173"/>
      <c r="T75" s="157"/>
      <c r="U75" s="158"/>
      <c r="V75" s="174"/>
      <c r="W75" s="158"/>
      <c r="X75" s="174"/>
      <c r="AA75" s="7"/>
      <c r="AB75" s="7"/>
      <c r="AC75" s="164"/>
      <c r="AD75" s="165"/>
      <c r="AE75" s="166"/>
      <c r="AF75" s="175"/>
      <c r="AG75" s="166"/>
      <c r="AH75" s="168"/>
      <c r="AI75" s="169"/>
      <c r="AJ75" s="168"/>
      <c r="AK75" s="170"/>
    </row>
    <row r="76" s="5" customFormat="1" ht="15" spans="1:37">
      <c r="A76" s="122"/>
      <c r="B76" s="138" t="s">
        <v>135</v>
      </c>
      <c r="C76" s="138"/>
      <c r="D76" s="138"/>
      <c r="E76" s="176">
        <v>46195</v>
      </c>
      <c r="F76" s="155"/>
      <c r="G76" s="156"/>
      <c r="H76" s="156"/>
      <c r="I76" s="156"/>
      <c r="J76" s="156"/>
      <c r="K76" s="157"/>
      <c r="L76" s="158"/>
      <c r="M76" s="158"/>
      <c r="N76" s="158"/>
      <c r="O76" s="157"/>
      <c r="Q76" s="157"/>
      <c r="R76" s="162"/>
      <c r="S76" s="160"/>
      <c r="T76" s="157"/>
      <c r="U76" s="161"/>
      <c r="V76" s="161"/>
      <c r="W76" s="162"/>
      <c r="X76" s="163"/>
      <c r="AA76" s="7"/>
      <c r="AB76" s="7"/>
      <c r="AC76" s="164"/>
      <c r="AD76" s="165"/>
      <c r="AE76" s="166"/>
      <c r="AF76" s="167"/>
      <c r="AG76" s="166"/>
      <c r="AH76" s="168"/>
      <c r="AI76" s="169"/>
      <c r="AJ76" s="168"/>
      <c r="AK76" s="170"/>
    </row>
    <row r="77" s="5" customFormat="1" ht="15" spans="1:37">
      <c r="A77" s="122"/>
      <c r="B77" s="138" t="s">
        <v>136</v>
      </c>
      <c r="C77" s="138"/>
      <c r="D77" s="138"/>
      <c r="E77" s="177" t="s">
        <v>13</v>
      </c>
      <c r="F77" s="155"/>
      <c r="G77" s="156"/>
      <c r="H77" s="156"/>
      <c r="I77" s="156"/>
      <c r="J77" s="156"/>
      <c r="K77" s="157"/>
      <c r="L77" s="158"/>
      <c r="M77" s="158"/>
      <c r="N77" s="158"/>
      <c r="O77" s="157"/>
      <c r="Q77" s="157"/>
      <c r="R77" s="172"/>
      <c r="S77" s="173"/>
      <c r="T77" s="157"/>
      <c r="U77" s="178"/>
      <c r="V77" s="178"/>
      <c r="W77" s="178"/>
      <c r="X77" s="163"/>
      <c r="AA77" s="7"/>
      <c r="AB77" s="7"/>
      <c r="AC77" s="164"/>
      <c r="AD77" s="165"/>
      <c r="AE77" s="166"/>
      <c r="AF77" s="167"/>
      <c r="AG77" s="166"/>
      <c r="AH77" s="168"/>
      <c r="AI77" s="169"/>
      <c r="AJ77" s="168"/>
      <c r="AK77" s="170"/>
    </row>
    <row r="78" s="5" customFormat="1" ht="15" spans="1:37">
      <c r="A78" s="122"/>
      <c r="B78" s="138" t="s">
        <v>137</v>
      </c>
      <c r="C78" s="138"/>
      <c r="D78" s="138"/>
      <c r="E78" s="176">
        <v>46180</v>
      </c>
      <c r="F78" s="155"/>
      <c r="G78" s="156"/>
      <c r="H78" s="156"/>
      <c r="I78" s="156"/>
      <c r="J78" s="156"/>
      <c r="K78" s="157"/>
      <c r="L78" s="158"/>
      <c r="M78" s="158"/>
      <c r="N78" s="158"/>
      <c r="O78" s="157"/>
      <c r="Q78" s="157"/>
      <c r="R78" s="172"/>
      <c r="S78" s="173"/>
      <c r="T78" s="157"/>
      <c r="U78" s="178"/>
      <c r="V78" s="178"/>
      <c r="W78" s="178"/>
      <c r="X78" s="163"/>
      <c r="AA78" s="7"/>
      <c r="AB78" s="7"/>
      <c r="AC78" s="164"/>
      <c r="AD78" s="165"/>
      <c r="AE78" s="166"/>
      <c r="AF78" s="167"/>
      <c r="AG78" s="166"/>
      <c r="AH78" s="168"/>
      <c r="AI78" s="169"/>
      <c r="AJ78" s="168"/>
      <c r="AK78" s="170"/>
    </row>
    <row r="79" s="5" customFormat="1" ht="15" spans="1:37">
      <c r="A79" s="122"/>
      <c r="B79" s="138" t="s">
        <v>138</v>
      </c>
      <c r="C79" s="138"/>
      <c r="D79" s="138"/>
      <c r="E79" s="171"/>
      <c r="F79" s="155"/>
      <c r="G79" s="156"/>
      <c r="H79" s="156"/>
      <c r="I79" s="156"/>
      <c r="J79" s="156"/>
      <c r="K79" s="157"/>
      <c r="L79" s="158"/>
      <c r="M79" s="158"/>
      <c r="N79" s="158"/>
      <c r="O79" s="157"/>
      <c r="Q79" s="157"/>
      <c r="R79" s="172"/>
      <c r="S79" s="173"/>
      <c r="T79" s="157"/>
      <c r="U79" s="179"/>
      <c r="V79" s="178"/>
      <c r="W79" s="178"/>
      <c r="X79" s="180"/>
      <c r="AA79" s="7"/>
      <c r="AB79" s="7"/>
      <c r="AC79" s="164"/>
      <c r="AD79" s="165"/>
      <c r="AE79" s="166"/>
      <c r="AF79" s="167"/>
      <c r="AG79" s="166"/>
      <c r="AH79" s="168"/>
      <c r="AI79" s="169"/>
      <c r="AJ79" s="168"/>
      <c r="AK79" s="181"/>
    </row>
    <row r="80" s="5" customFormat="1" ht="15" spans="1:37">
      <c r="A80" s="122"/>
      <c r="B80" s="138" t="s">
        <v>139</v>
      </c>
      <c r="C80" s="138"/>
      <c r="D80" s="138"/>
      <c r="E80" s="156"/>
      <c r="F80" s="155"/>
      <c r="G80" s="156"/>
      <c r="H80" s="156"/>
      <c r="I80" s="156"/>
      <c r="J80" s="156"/>
      <c r="K80" s="157"/>
      <c r="L80" s="158"/>
      <c r="M80" s="158"/>
      <c r="N80" s="158"/>
      <c r="O80" s="157"/>
      <c r="Q80" s="157"/>
      <c r="R80" s="182"/>
      <c r="S80" s="173"/>
      <c r="T80" s="157"/>
      <c r="U80" s="183"/>
      <c r="V80" s="184"/>
      <c r="W80" s="185"/>
      <c r="X80" s="186"/>
      <c r="AA80" s="7"/>
      <c r="AB80" s="7"/>
      <c r="AC80" s="164"/>
      <c r="AD80" s="165"/>
      <c r="AE80" s="166"/>
      <c r="AF80" s="167"/>
      <c r="AG80" s="166"/>
      <c r="AH80" s="168"/>
      <c r="AI80" s="169"/>
      <c r="AJ80" s="168"/>
      <c r="AK80" s="181"/>
    </row>
    <row r="81" s="5" customFormat="1" ht="15" spans="1:37">
      <c r="A81" s="122"/>
      <c r="B81" s="138" t="s">
        <v>140</v>
      </c>
      <c r="C81" s="138"/>
      <c r="D81" s="138"/>
      <c r="E81" s="156"/>
      <c r="F81" s="155"/>
      <c r="G81" s="156"/>
      <c r="H81" s="156"/>
      <c r="I81" s="156"/>
      <c r="J81" s="156"/>
      <c r="K81" s="157"/>
      <c r="L81" s="158"/>
      <c r="M81" s="158"/>
      <c r="N81" s="158"/>
      <c r="O81" s="187"/>
      <c r="Q81" s="157"/>
      <c r="R81" s="162"/>
      <c r="S81" s="160"/>
      <c r="T81" s="157"/>
      <c r="U81" s="161"/>
      <c r="V81" s="161"/>
      <c r="W81" s="183"/>
      <c r="X81" s="163"/>
      <c r="AA81" s="7"/>
      <c r="AB81" s="7"/>
      <c r="AC81" s="164"/>
      <c r="AD81" s="188"/>
      <c r="AE81" s="166"/>
      <c r="AF81" s="181"/>
      <c r="AG81" s="166"/>
      <c r="AH81" s="168"/>
      <c r="AI81" s="169"/>
      <c r="AJ81" s="168"/>
      <c r="AK81" s="181"/>
    </row>
    <row r="82" s="5" customFormat="1" ht="15" spans="1:37">
      <c r="A82" s="122"/>
      <c r="B82" s="138" t="s">
        <v>141</v>
      </c>
      <c r="C82" s="138"/>
      <c r="D82" s="138"/>
      <c r="E82" s="189"/>
      <c r="F82" s="155"/>
      <c r="G82" s="156"/>
      <c r="H82" s="156"/>
      <c r="I82" s="156"/>
      <c r="J82" s="156"/>
      <c r="K82" s="157"/>
      <c r="L82" s="158"/>
      <c r="M82" s="158"/>
      <c r="N82" s="158"/>
      <c r="O82" s="187"/>
      <c r="Q82" s="157"/>
      <c r="R82" s="182"/>
      <c r="S82" s="173"/>
      <c r="T82" s="157"/>
      <c r="U82" s="183"/>
      <c r="V82" s="184"/>
      <c r="W82" s="183"/>
      <c r="X82" s="186"/>
      <c r="AA82" s="7"/>
      <c r="AB82" s="7"/>
      <c r="AC82" s="164"/>
      <c r="AD82" s="165"/>
      <c r="AE82" s="166"/>
      <c r="AF82" s="167"/>
      <c r="AG82" s="166"/>
      <c r="AH82" s="168"/>
      <c r="AI82" s="169"/>
      <c r="AJ82" s="168"/>
      <c r="AK82" s="170"/>
    </row>
    <row r="83" s="5" customFormat="1" spans="1:37">
      <c r="A83" s="122"/>
      <c r="B83" s="138" t="s">
        <v>142</v>
      </c>
      <c r="C83" s="138"/>
      <c r="D83" s="138"/>
      <c r="E83" s="190"/>
      <c r="F83" s="155"/>
      <c r="G83" s="156"/>
      <c r="H83" s="156"/>
      <c r="I83" s="156"/>
      <c r="J83" s="156"/>
      <c r="K83" s="157"/>
      <c r="L83" s="158"/>
      <c r="M83" s="158"/>
      <c r="N83" s="158"/>
      <c r="O83" s="187"/>
      <c r="Q83" s="157"/>
      <c r="R83" s="191"/>
      <c r="S83" s="158"/>
      <c r="T83" s="157"/>
      <c r="U83" s="158"/>
      <c r="V83" s="158"/>
      <c r="W83" s="158"/>
      <c r="X83" s="158"/>
      <c r="AA83" s="7"/>
      <c r="AB83" s="7"/>
      <c r="AC83" s="164"/>
      <c r="AD83" s="165"/>
      <c r="AE83" s="166"/>
      <c r="AF83" s="167"/>
      <c r="AG83" s="166"/>
      <c r="AH83" s="168"/>
      <c r="AI83" s="169"/>
      <c r="AJ83" s="168"/>
      <c r="AK83" s="170"/>
    </row>
    <row r="84" s="5" customFormat="1" ht="14.25" spans="1:37">
      <c r="A84" s="122"/>
      <c r="B84" s="192" t="s">
        <v>143</v>
      </c>
      <c r="C84" s="192"/>
      <c r="D84" s="192"/>
      <c r="E84" s="190"/>
      <c r="F84" s="155"/>
      <c r="G84" s="156"/>
      <c r="H84" s="156"/>
      <c r="I84" s="156"/>
      <c r="J84" s="156"/>
      <c r="K84" s="157"/>
      <c r="L84" s="158"/>
      <c r="M84" s="158"/>
      <c r="N84" s="158"/>
      <c r="O84" s="185"/>
      <c r="Q84" s="178"/>
      <c r="R84" s="191"/>
      <c r="S84" s="158"/>
      <c r="T84" s="157"/>
      <c r="U84" s="157"/>
      <c r="V84" s="182"/>
      <c r="W84" s="173"/>
      <c r="X84" s="157"/>
      <c r="Y84" s="193"/>
      <c r="Z84" s="193"/>
      <c r="AA84" s="194"/>
      <c r="AB84" s="195"/>
      <c r="AC84" s="164"/>
      <c r="AD84" s="165"/>
      <c r="AE84" s="166"/>
      <c r="AF84" s="167"/>
      <c r="AG84" s="166"/>
      <c r="AH84" s="168"/>
      <c r="AI84" s="169"/>
      <c r="AJ84" s="168"/>
      <c r="AK84" s="170"/>
    </row>
    <row r="85" s="5" customFormat="1" ht="15" spans="1:37">
      <c r="A85" s="122"/>
      <c r="B85" s="192" t="s">
        <v>144</v>
      </c>
      <c r="C85" s="192"/>
      <c r="D85" s="192"/>
      <c r="E85" s="196"/>
      <c r="F85" s="155"/>
      <c r="G85" s="197"/>
      <c r="H85" s="157"/>
      <c r="I85" s="198"/>
      <c r="J85" s="198"/>
      <c r="K85" s="157"/>
      <c r="L85" s="163"/>
      <c r="M85" s="158"/>
      <c r="N85" s="158"/>
      <c r="O85" s="185"/>
      <c r="Q85" s="157"/>
      <c r="R85" s="162"/>
      <c r="S85" s="160"/>
      <c r="T85" s="157"/>
      <c r="U85" s="161"/>
      <c r="V85" s="161"/>
      <c r="W85" s="183"/>
      <c r="X85" s="163"/>
      <c r="Y85" s="193"/>
      <c r="Z85" s="193"/>
      <c r="AA85" s="194"/>
      <c r="AB85" s="195"/>
    </row>
    <row r="86" s="5" customFormat="1" ht="15" spans="1:37">
      <c r="A86" s="122"/>
      <c r="B86" s="192" t="s">
        <v>145</v>
      </c>
      <c r="C86" s="192"/>
      <c r="D86" s="192"/>
      <c r="E86" s="199"/>
      <c r="F86" s="122"/>
      <c r="G86" s="156"/>
      <c r="H86" s="156"/>
      <c r="I86" s="156"/>
      <c r="J86" s="157"/>
      <c r="K86" s="157"/>
      <c r="L86" s="163"/>
      <c r="M86" s="158"/>
      <c r="N86" s="158"/>
      <c r="O86" s="185"/>
      <c r="Q86" s="157"/>
      <c r="R86" s="162"/>
      <c r="S86" s="160"/>
      <c r="T86" s="157"/>
      <c r="U86" s="161"/>
      <c r="V86" s="161"/>
      <c r="W86" s="162"/>
      <c r="X86" s="163"/>
      <c r="Y86" s="193"/>
      <c r="Z86" s="193"/>
      <c r="AA86" s="194"/>
      <c r="AB86" s="195"/>
    </row>
    <row r="87" s="5" customFormat="1" ht="15" spans="1:37">
      <c r="A87" s="122"/>
      <c r="F87" s="122"/>
      <c r="G87" s="156"/>
      <c r="H87" s="156"/>
      <c r="I87" s="156"/>
      <c r="J87" s="156"/>
      <c r="K87" s="157"/>
      <c r="L87" s="163"/>
      <c r="M87" s="158"/>
      <c r="N87" s="158"/>
      <c r="O87" s="185"/>
      <c r="Q87" s="157"/>
      <c r="R87" s="162"/>
      <c r="S87" s="160"/>
      <c r="T87" s="157"/>
      <c r="U87" s="161"/>
      <c r="V87" s="161"/>
      <c r="W87" s="173"/>
      <c r="X87" s="163"/>
      <c r="Y87" s="193"/>
      <c r="Z87" s="193"/>
      <c r="AA87" s="194"/>
      <c r="AB87" s="195"/>
    </row>
    <row r="88" s="5" customFormat="1" ht="14.25" spans="1:37">
      <c r="A88" s="122"/>
      <c r="G88" s="156"/>
      <c r="H88" s="156"/>
      <c r="I88" s="156"/>
      <c r="J88" s="156"/>
      <c r="K88" s="157"/>
      <c r="L88" s="163"/>
      <c r="M88" s="158"/>
      <c r="N88" s="158"/>
      <c r="O88" s="185"/>
      <c r="Q88" s="193"/>
      <c r="R88" s="200"/>
      <c r="S88" s="201"/>
      <c r="U88" s="166"/>
      <c r="V88" s="165"/>
      <c r="W88" s="167"/>
      <c r="X88" s="166"/>
      <c r="Y88" s="193"/>
      <c r="Z88" s="193"/>
      <c r="AA88" s="194"/>
      <c r="AB88" s="195"/>
    </row>
    <row r="89" s="5" customFormat="1" ht="14.25" spans="1:37">
      <c r="A89" s="122"/>
      <c r="G89" s="156"/>
      <c r="H89" s="156"/>
      <c r="I89" s="156"/>
      <c r="J89" s="156"/>
      <c r="K89" s="157"/>
      <c r="L89" s="163"/>
      <c r="M89" s="158"/>
      <c r="N89" s="158"/>
      <c r="O89" s="185"/>
      <c r="Q89" s="193"/>
      <c r="R89" s="200"/>
      <c r="U89" s="166"/>
      <c r="V89" s="168"/>
      <c r="W89" s="167"/>
      <c r="X89" s="168"/>
      <c r="Y89" s="193"/>
      <c r="Z89" s="193"/>
      <c r="AA89" s="194"/>
      <c r="AB89" s="195"/>
    </row>
    <row r="90" s="5" customFormat="1" ht="14.25" spans="1:37">
      <c r="A90" s="122"/>
      <c r="G90" s="202"/>
      <c r="H90" s="166"/>
      <c r="I90" s="166"/>
      <c r="J90" s="166"/>
      <c r="K90" s="166"/>
      <c r="L90" s="203"/>
      <c r="M90" s="166"/>
      <c r="N90" s="168"/>
      <c r="O90" s="166"/>
      <c r="Q90" s="193"/>
      <c r="R90" s="200"/>
      <c r="U90" s="166"/>
      <c r="V90" s="166"/>
      <c r="W90" s="167"/>
      <c r="X90" s="166"/>
      <c r="Y90" s="193"/>
      <c r="Z90" s="193"/>
      <c r="AA90" s="194"/>
      <c r="AB90" s="195"/>
      <c r="AC90" s="168"/>
      <c r="AD90" s="166"/>
      <c r="AE90" s="122"/>
    </row>
    <row r="91" s="5" customFormat="1" ht="14.25" spans="1:37">
      <c r="A91" s="122"/>
      <c r="G91" s="122"/>
      <c r="H91" s="166"/>
      <c r="I91" s="202"/>
      <c r="J91" s="166"/>
      <c r="K91" s="166"/>
      <c r="L91" s="166"/>
      <c r="M91" s="166"/>
      <c r="N91" s="166"/>
      <c r="O91" s="166"/>
      <c r="P91" s="168"/>
      <c r="Q91" s="193"/>
      <c r="R91" s="200"/>
      <c r="S91" s="201"/>
      <c r="U91" s="166"/>
      <c r="V91" s="166"/>
      <c r="W91" s="166"/>
      <c r="X91" s="203"/>
      <c r="Y91" s="193"/>
      <c r="Z91" s="193"/>
      <c r="AA91" s="195"/>
      <c r="AB91" s="195"/>
      <c r="AC91" s="168"/>
      <c r="AD91" s="166"/>
      <c r="AE91" s="122"/>
    </row>
    <row r="92" s="5" customFormat="1" ht="14.25" spans="1:37">
      <c r="A92" s="122"/>
      <c r="G92" s="122"/>
      <c r="H92" s="166"/>
      <c r="I92" s="202"/>
      <c r="J92" s="166"/>
      <c r="K92" s="166"/>
      <c r="L92" s="166"/>
      <c r="M92" s="166"/>
      <c r="N92" s="166"/>
      <c r="O92" s="166"/>
      <c r="P92" s="168"/>
      <c r="Q92" s="204"/>
      <c r="R92" s="168"/>
      <c r="S92" s="168"/>
      <c r="T92" s="166"/>
      <c r="U92" s="166"/>
      <c r="V92" s="166"/>
      <c r="W92" s="166"/>
      <c r="X92" s="166"/>
      <c r="Y92" s="168"/>
      <c r="Z92" s="168"/>
      <c r="AA92" s="195"/>
      <c r="AB92" s="195"/>
      <c r="AC92" s="166"/>
      <c r="AD92" s="166"/>
      <c r="AE92" s="122"/>
    </row>
    <row r="93" s="5" customFormat="1" ht="14.25" spans="1:37">
      <c r="A93" s="122"/>
      <c r="G93" s="122"/>
      <c r="H93" s="166"/>
      <c r="I93" s="202"/>
      <c r="J93" s="166"/>
      <c r="K93" s="166"/>
      <c r="L93" s="166"/>
      <c r="M93" s="166"/>
      <c r="N93" s="166"/>
      <c r="O93" s="166"/>
      <c r="P93" s="168"/>
      <c r="Q93" s="204"/>
      <c r="R93" s="168"/>
      <c r="S93" s="168"/>
      <c r="T93" s="166"/>
      <c r="U93" s="166"/>
      <c r="V93" s="166"/>
      <c r="W93" s="166"/>
      <c r="X93" s="166"/>
      <c r="Y93" s="166"/>
      <c r="Z93" s="166"/>
      <c r="AA93" s="195"/>
      <c r="AB93" s="195"/>
      <c r="AC93" s="166"/>
      <c r="AD93" s="166"/>
      <c r="AE93" s="122"/>
    </row>
    <row r="94" s="5" customFormat="1" spans="1:37">
      <c r="A94" s="122"/>
      <c r="B94" s="123"/>
      <c r="C94" s="123"/>
      <c r="D94" s="123"/>
      <c r="E94" s="122"/>
      <c r="G94" s="205" t="s">
        <v>146</v>
      </c>
      <c r="H94" s="206"/>
      <c r="I94" s="206"/>
      <c r="J94" s="206"/>
      <c r="K94" s="206"/>
      <c r="L94" s="206"/>
      <c r="M94" s="206"/>
      <c r="N94" s="206"/>
      <c r="O94" s="206"/>
      <c r="P94" s="166"/>
      <c r="Q94" s="204"/>
      <c r="R94" s="166"/>
      <c r="S94" s="166"/>
      <c r="T94" s="166"/>
      <c r="U94" s="166"/>
      <c r="V94" s="181"/>
      <c r="W94" s="166"/>
      <c r="X94" s="122"/>
      <c r="AA94" s="7"/>
      <c r="AB94" s="7"/>
    </row>
    <row r="95" s="5" customFormat="1" spans="1:37">
      <c r="A95" s="122"/>
      <c r="B95" s="123"/>
      <c r="C95" s="123"/>
      <c r="D95" s="123"/>
      <c r="E95" s="122"/>
      <c r="G95" s="148" t="s">
        <v>127</v>
      </c>
      <c r="H95" s="149" t="s">
        <v>22</v>
      </c>
      <c r="I95" s="150" t="s">
        <v>121</v>
      </c>
      <c r="J95" s="148" t="s">
        <v>147</v>
      </c>
      <c r="K95" s="148" t="s">
        <v>148</v>
      </c>
      <c r="L95" s="148" t="s">
        <v>124</v>
      </c>
      <c r="M95" s="148" t="s">
        <v>149</v>
      </c>
      <c r="N95" s="148" t="s">
        <v>130</v>
      </c>
      <c r="O95" s="148" t="s">
        <v>150</v>
      </c>
      <c r="P95" s="166"/>
      <c r="Q95" s="193"/>
      <c r="R95" s="166"/>
      <c r="S95" s="166"/>
      <c r="T95" s="181"/>
      <c r="U95" s="166"/>
      <c r="V95" s="181"/>
      <c r="W95" s="166"/>
      <c r="X95" s="122"/>
      <c r="AA95" s="7"/>
      <c r="AB95" s="7"/>
    </row>
    <row r="96" s="5" customFormat="1" spans="1:37">
      <c r="A96" s="122"/>
      <c r="B96" s="123"/>
      <c r="C96" s="123"/>
      <c r="D96" s="123"/>
      <c r="E96" s="122"/>
      <c r="G96" s="157"/>
      <c r="H96" s="207"/>
      <c r="I96" s="208"/>
      <c r="J96" s="157"/>
      <c r="K96" s="178"/>
      <c r="L96" s="178"/>
      <c r="M96" s="209"/>
      <c r="N96" s="210"/>
      <c r="O96" s="178"/>
      <c r="P96" s="166"/>
      <c r="Q96" s="193"/>
      <c r="R96" s="166"/>
      <c r="S96" s="166"/>
      <c r="T96" s="166"/>
      <c r="U96" s="181"/>
      <c r="V96" s="166"/>
      <c r="W96" s="166"/>
      <c r="X96" s="122"/>
      <c r="AA96" s="7"/>
      <c r="AB96" s="7"/>
    </row>
    <row r="97" s="5" customFormat="1" spans="1:28">
      <c r="A97" s="122"/>
      <c r="B97" s="123"/>
      <c r="C97" s="123"/>
      <c r="D97" s="123"/>
      <c r="E97" s="122"/>
      <c r="G97" s="157"/>
      <c r="H97" s="207"/>
      <c r="I97" s="208"/>
      <c r="J97" s="157"/>
      <c r="K97" s="178"/>
      <c r="L97" s="178"/>
      <c r="M97" s="209"/>
      <c r="N97" s="210"/>
      <c r="O97" s="178"/>
      <c r="P97" s="166"/>
      <c r="Q97" s="193"/>
      <c r="R97" s="166"/>
      <c r="S97" s="166"/>
      <c r="T97" s="166"/>
      <c r="U97" s="166"/>
      <c r="V97" s="166"/>
      <c r="W97" s="166"/>
      <c r="X97" s="211"/>
      <c r="AA97" s="7"/>
      <c r="AB97" s="7"/>
    </row>
    <row r="98" s="5" customFormat="1" spans="1:28">
      <c r="A98" s="122"/>
      <c r="B98" s="123"/>
      <c r="C98" s="123"/>
      <c r="D98" s="123"/>
      <c r="E98" s="122"/>
      <c r="F98" s="122"/>
      <c r="G98" s="157"/>
      <c r="H98" s="212"/>
      <c r="I98" s="208"/>
      <c r="J98" s="157"/>
      <c r="K98" s="178"/>
      <c r="L98" s="178"/>
      <c r="M98" s="209"/>
      <c r="N98" s="210"/>
      <c r="O98" s="178"/>
      <c r="P98" s="166"/>
      <c r="Q98" s="193"/>
      <c r="R98" s="166"/>
      <c r="S98" s="166"/>
      <c r="T98" s="166"/>
      <c r="U98" s="166"/>
      <c r="V98" s="166"/>
      <c r="W98" s="166"/>
      <c r="X98" s="122"/>
      <c r="AA98" s="7"/>
      <c r="AB98" s="7"/>
    </row>
    <row r="99" s="5" customFormat="1" spans="1:28">
      <c r="G99" s="157"/>
      <c r="H99" s="212"/>
      <c r="I99" s="208"/>
      <c r="J99" s="157"/>
      <c r="K99" s="178"/>
      <c r="L99" s="178"/>
      <c r="M99" s="209"/>
      <c r="N99" s="210"/>
      <c r="O99" s="178"/>
      <c r="P99" s="166"/>
      <c r="Q99" s="193"/>
      <c r="R99" s="166"/>
      <c r="S99" s="166"/>
      <c r="T99" s="166"/>
      <c r="U99" s="166"/>
      <c r="V99" s="166"/>
      <c r="W99" s="166"/>
      <c r="X99" s="122"/>
      <c r="AA99" s="7"/>
      <c r="AB99" s="7"/>
    </row>
    <row r="100" s="5" customFormat="1" spans="1:28">
      <c r="G100" s="157"/>
      <c r="H100" s="212"/>
      <c r="I100" s="208"/>
      <c r="J100" s="157"/>
      <c r="K100" s="178"/>
      <c r="L100" s="178"/>
      <c r="M100" s="209"/>
      <c r="N100" s="210"/>
      <c r="O100" s="178"/>
      <c r="P100" s="166"/>
      <c r="Q100" s="193"/>
      <c r="R100" s="166"/>
      <c r="S100" s="166"/>
      <c r="T100" s="166"/>
      <c r="U100" s="166"/>
      <c r="V100" s="166"/>
      <c r="W100" s="166"/>
      <c r="X100" s="122"/>
      <c r="AA100" s="7"/>
      <c r="AB100" s="7"/>
    </row>
    <row r="101" s="5" customFormat="1" ht="15" spans="1:28">
      <c r="G101" s="157"/>
      <c r="H101" s="212"/>
      <c r="I101" s="208"/>
      <c r="J101" s="157"/>
      <c r="K101" s="178"/>
      <c r="L101" s="178"/>
      <c r="M101" s="209"/>
      <c r="N101" s="210"/>
      <c r="O101" s="178"/>
      <c r="Q101" s="30"/>
      <c r="R101" s="166"/>
      <c r="S101" s="166"/>
      <c r="T101" s="166"/>
      <c r="U101" s="166"/>
      <c r="V101" s="166"/>
      <c r="W101" s="166"/>
      <c r="X101" s="122"/>
      <c r="AA101" s="7"/>
      <c r="AB101" s="7"/>
    </row>
    <row r="102" s="5" customFormat="1" ht="15" spans="1:28">
      <c r="G102" s="157"/>
      <c r="H102" s="212"/>
      <c r="I102" s="208"/>
      <c r="J102" s="157"/>
      <c r="K102" s="178"/>
      <c r="L102" s="178"/>
      <c r="M102" s="209"/>
      <c r="N102" s="210"/>
      <c r="O102" s="178"/>
      <c r="P102" s="166"/>
      <c r="Q102" s="30"/>
      <c r="R102" s="166"/>
      <c r="S102" s="166"/>
      <c r="T102" s="166"/>
      <c r="U102" s="166"/>
      <c r="V102" s="166"/>
      <c r="W102" s="166"/>
      <c r="X102" s="122"/>
      <c r="AA102" s="7"/>
      <c r="AB102" s="7"/>
    </row>
    <row r="103" s="5" customFormat="1" ht="15" spans="1:28">
      <c r="G103" s="157"/>
      <c r="H103" s="212"/>
      <c r="I103" s="208"/>
      <c r="J103" s="157"/>
      <c r="K103" s="178"/>
      <c r="L103" s="178"/>
      <c r="M103" s="157"/>
      <c r="N103" s="210"/>
      <c r="O103" s="178"/>
      <c r="P103" s="166"/>
      <c r="Q103" s="30"/>
      <c r="R103" s="166"/>
      <c r="S103" s="122"/>
      <c r="T103" s="122"/>
      <c r="U103" s="122"/>
      <c r="V103" s="122"/>
      <c r="W103" s="122"/>
      <c r="X103" s="122"/>
      <c r="AA103" s="7"/>
      <c r="AB103" s="7"/>
    </row>
    <row r="104" s="5" customFormat="1" ht="15" spans="1:28">
      <c r="G104" s="157"/>
      <c r="H104" s="212"/>
      <c r="I104" s="208"/>
      <c r="J104" s="157"/>
      <c r="K104" s="178"/>
      <c r="L104" s="178"/>
      <c r="M104" s="157"/>
      <c r="N104" s="158"/>
      <c r="O104" s="178"/>
      <c r="P104" s="166"/>
      <c r="Q104" s="30"/>
      <c r="R104" s="166"/>
      <c r="X104" s="122"/>
      <c r="AA104" s="7"/>
      <c r="AB104" s="7"/>
    </row>
    <row r="105" s="5" customFormat="1" ht="15" spans="1:28">
      <c r="G105" s="122"/>
      <c r="H105" s="166"/>
      <c r="I105" s="122"/>
      <c r="J105" s="122"/>
      <c r="Q105" s="30"/>
      <c r="U105" s="213"/>
      <c r="W105" s="122"/>
      <c r="X105" s="122"/>
      <c r="Y105" s="122"/>
      <c r="AA105" s="7"/>
      <c r="AB105" s="7"/>
    </row>
    <row r="106" s="5" customFormat="1" ht="15" spans="1:28">
      <c r="G106" s="122"/>
      <c r="H106" s="166"/>
      <c r="Q106" s="30"/>
      <c r="AA106" s="7"/>
      <c r="AB106" s="7"/>
    </row>
    <row r="107" s="5" customFormat="1" ht="15" spans="1:28">
      <c r="G107" s="122"/>
      <c r="H107" s="166"/>
      <c r="Q107" s="30"/>
      <c r="AA107" s="7"/>
      <c r="AB107" s="7"/>
    </row>
    <row r="108" s="5" customFormat="1" ht="15" spans="1:28">
      <c r="G108" s="122"/>
      <c r="H108" s="166"/>
      <c r="O108" s="128"/>
      <c r="Q108" s="30"/>
      <c r="AA108" s="7"/>
      <c r="AB108" s="7"/>
    </row>
    <row r="109" s="5" customFormat="1" ht="15" spans="1:28">
      <c r="G109" s="122"/>
      <c r="H109" s="166"/>
      <c r="Q109" s="30"/>
      <c r="AA109" s="7"/>
      <c r="AB109" s="7"/>
    </row>
    <row r="110" s="5" customFormat="1" ht="15" spans="1:28">
      <c r="G110" s="122"/>
      <c r="H110" s="122"/>
      <c r="Q110" s="30"/>
      <c r="AA110" s="7"/>
      <c r="AB110" s="7"/>
    </row>
    <row r="111" s="5" customFormat="1" ht="15" spans="1:28">
      <c r="G111" s="122"/>
      <c r="H111" s="122"/>
      <c r="Q111" s="30"/>
      <c r="AA111" s="7"/>
      <c r="AB111" s="7"/>
    </row>
    <row r="112" s="5" customFormat="1" ht="15" spans="1:28">
      <c r="G112" s="122"/>
      <c r="Q112" s="30"/>
      <c r="AA112" s="7"/>
      <c r="AB112" s="7"/>
    </row>
    <row r="113" s="5" customFormat="1" ht="15" spans="17:28">
      <c r="Q113" s="30"/>
      <c r="AA113" s="7"/>
      <c r="AB113" s="7"/>
    </row>
    <row r="114" s="5" customFormat="1" ht="15" spans="17:28">
      <c r="Q114" s="30"/>
      <c r="AA114" s="7"/>
      <c r="AB114" s="7"/>
    </row>
    <row r="115" s="5" customFormat="1" ht="15" spans="17:28">
      <c r="Q115" s="30"/>
      <c r="AA115" s="7"/>
      <c r="AB115" s="7"/>
    </row>
    <row r="116" s="5" customFormat="1" ht="15" spans="17:28">
      <c r="Q116" s="30"/>
      <c r="AA116" s="7"/>
      <c r="AB116" s="7"/>
    </row>
    <row r="117" s="5" customFormat="1" ht="15" spans="17:28">
      <c r="Q117" s="30"/>
      <c r="AA117" s="7"/>
      <c r="AB117" s="7"/>
    </row>
    <row r="118" s="5" customFormat="1" ht="15" spans="17:28">
      <c r="Q118" s="30"/>
      <c r="AA118" s="7"/>
      <c r="AB118" s="7"/>
    </row>
    <row r="119" s="5" customFormat="1" ht="15" spans="17:28">
      <c r="Q119" s="30"/>
      <c r="AA119" s="7"/>
      <c r="AB119" s="7"/>
    </row>
    <row r="120" s="5" customFormat="1" ht="15" spans="17:28">
      <c r="Q120" s="30"/>
      <c r="AA120" s="7"/>
      <c r="AB120" s="7"/>
    </row>
    <row r="121" s="5" customFormat="1" ht="15" spans="17:28">
      <c r="Q121" s="30"/>
      <c r="AA121" s="7"/>
      <c r="AB121" s="7"/>
    </row>
    <row r="122" s="5" customFormat="1" ht="15" spans="17:28">
      <c r="Q122" s="30"/>
      <c r="AA122" s="7"/>
      <c r="AB122" s="7"/>
    </row>
    <row r="123" s="5" customFormat="1" ht="15" spans="17:28">
      <c r="Q123" s="30"/>
      <c r="AA123" s="7"/>
      <c r="AB123" s="7"/>
    </row>
    <row r="124" s="5" customFormat="1" ht="15" spans="17:28">
      <c r="Q124" s="30"/>
      <c r="AA124" s="7"/>
      <c r="AB124" s="7"/>
    </row>
    <row r="125" s="5" customFormat="1" ht="15" spans="17:28">
      <c r="Q125" s="30"/>
      <c r="AA125" s="7"/>
      <c r="AB125" s="7"/>
    </row>
    <row r="126" s="5" customFormat="1" spans="17:28">
      <c r="Q126" s="214"/>
      <c r="AA126" s="7"/>
      <c r="AB126" s="7"/>
    </row>
    <row r="127" s="5" customFormat="1" spans="17:28">
      <c r="Q127" s="214"/>
      <c r="AA127" s="7"/>
      <c r="AB127" s="7"/>
    </row>
    <row r="128" s="5" customFormat="1" spans="17:28">
      <c r="Q128" s="214"/>
      <c r="AA128" s="7"/>
      <c r="AB128" s="7"/>
    </row>
    <row r="129" s="5" customFormat="1" spans="17:28">
      <c r="Q129" s="214"/>
      <c r="AA129" s="7"/>
      <c r="AB129" s="7"/>
    </row>
    <row r="130" s="5" customFormat="1" spans="17:28">
      <c r="Q130" s="214"/>
      <c r="AA130" s="7"/>
      <c r="AB130" s="7"/>
    </row>
    <row r="131" s="5" customFormat="1" spans="17:28">
      <c r="Q131" s="214"/>
      <c r="AA131" s="7"/>
      <c r="AB131" s="7"/>
    </row>
    <row r="132" s="5" customFormat="1" spans="17:28">
      <c r="Q132" s="214"/>
      <c r="AA132" s="7"/>
      <c r="AB132" s="7"/>
    </row>
    <row r="133" s="5" customFormat="1" spans="17:28">
      <c r="Q133" s="214"/>
      <c r="AA133" s="7"/>
      <c r="AB133" s="7"/>
    </row>
    <row r="134" s="5" customFormat="1" spans="17:28">
      <c r="Q134" s="214"/>
      <c r="AA134" s="7"/>
      <c r="AB134" s="7"/>
    </row>
    <row r="135" s="5" customFormat="1" spans="17:28">
      <c r="Q135" s="214"/>
      <c r="AA135" s="7"/>
      <c r="AB135" s="7"/>
    </row>
    <row r="136" s="5" customFormat="1" spans="17:28">
      <c r="Q136" s="214"/>
      <c r="AA136" s="7"/>
      <c r="AB136" s="7"/>
    </row>
    <row r="137" s="5" customFormat="1" spans="17:28">
      <c r="Q137" s="214"/>
      <c r="AA137" s="7"/>
      <c r="AB137" s="7"/>
    </row>
    <row r="138" s="5" customFormat="1" spans="17:28">
      <c r="Q138" s="214"/>
      <c r="AA138" s="7"/>
      <c r="AB138" s="7"/>
    </row>
    <row r="139" s="5" customFormat="1" spans="17:28">
      <c r="Q139" s="214"/>
      <c r="AA139" s="7"/>
      <c r="AB139" s="7"/>
    </row>
    <row r="140" s="5" customFormat="1" spans="17:28">
      <c r="Q140" s="214"/>
      <c r="AA140" s="7"/>
      <c r="AB140" s="7"/>
    </row>
    <row r="141" s="5" customFormat="1" spans="17:28">
      <c r="Q141" s="214"/>
      <c r="AA141" s="7"/>
      <c r="AB141" s="7"/>
    </row>
    <row r="142" s="5" customFormat="1" spans="17:28">
      <c r="Q142" s="214"/>
      <c r="AA142" s="7"/>
      <c r="AB142" s="7"/>
    </row>
    <row r="143" s="5" customFormat="1" spans="17:28">
      <c r="Q143" s="214"/>
      <c r="AA143" s="7"/>
      <c r="AB143" s="7"/>
    </row>
    <row r="144" s="5" customFormat="1" spans="17:28">
      <c r="Q144" s="214"/>
      <c r="AA144" s="7"/>
      <c r="AB144" s="7"/>
    </row>
    <row r="145" s="5" customFormat="1" spans="17:28">
      <c r="Q145" s="214"/>
      <c r="AA145" s="7"/>
      <c r="AB145" s="7"/>
    </row>
    <row r="146" s="5" customFormat="1" spans="17:28">
      <c r="Q146" s="214"/>
      <c r="AA146" s="7"/>
      <c r="AB146" s="7"/>
    </row>
    <row r="147" s="5" customFormat="1" spans="17:28">
      <c r="Q147" s="214"/>
      <c r="AA147" s="7"/>
      <c r="AB147" s="7"/>
    </row>
    <row r="148" s="5" customFormat="1" spans="17:28">
      <c r="Q148" s="214"/>
      <c r="AA148" s="7"/>
      <c r="AB148" s="7"/>
    </row>
    <row r="149" s="5" customFormat="1" spans="17:28">
      <c r="Q149" s="214"/>
      <c r="AA149" s="7"/>
      <c r="AB149" s="7"/>
    </row>
    <row r="150" s="5" customFormat="1" spans="17:28">
      <c r="Q150" s="214"/>
      <c r="AA150" s="7"/>
      <c r="AB150" s="7"/>
    </row>
    <row r="151" s="5" customFormat="1" spans="17:28">
      <c r="Q151" s="214"/>
      <c r="AA151" s="7"/>
      <c r="AB151" s="7"/>
    </row>
    <row r="152" s="5" customFormat="1" spans="17:28">
      <c r="Q152" s="214"/>
      <c r="AA152" s="7"/>
      <c r="AB152" s="7"/>
    </row>
    <row r="153" s="5" customFormat="1" spans="17:28">
      <c r="Q153" s="214"/>
      <c r="AA153" s="7"/>
      <c r="AB153" s="7"/>
    </row>
    <row r="154" s="5" customFormat="1" spans="17:28">
      <c r="Q154" s="214"/>
      <c r="AA154" s="7"/>
      <c r="AB154" s="7"/>
    </row>
    <row r="155" s="5" customFormat="1" spans="17:28">
      <c r="Q155" s="214"/>
      <c r="AA155" s="7"/>
      <c r="AB155" s="7"/>
    </row>
    <row r="156" s="5" customFormat="1" spans="17:28">
      <c r="Q156" s="214"/>
      <c r="AA156" s="7"/>
      <c r="AB156" s="7"/>
    </row>
    <row r="157" s="5" customFormat="1" spans="17:28">
      <c r="Q157" s="214"/>
      <c r="AA157" s="7"/>
      <c r="AB157" s="7"/>
    </row>
    <row r="158" s="5" customFormat="1" spans="17:28">
      <c r="Q158" s="214"/>
      <c r="AA158" s="7"/>
      <c r="AB158" s="7"/>
    </row>
    <row r="159" s="5" customFormat="1" spans="17:28">
      <c r="Q159" s="214"/>
      <c r="AA159" s="7"/>
      <c r="AB159" s="7"/>
    </row>
    <row r="160" s="5" customFormat="1" spans="17:28">
      <c r="Q160" s="214"/>
      <c r="AA160" s="7"/>
      <c r="AB160" s="7"/>
    </row>
    <row r="161" s="5" customFormat="1" spans="17:28">
      <c r="Q161" s="214"/>
      <c r="AA161" s="7"/>
      <c r="AB161" s="7"/>
    </row>
    <row r="162" s="5" customFormat="1" spans="17:28">
      <c r="Q162" s="214"/>
      <c r="AA162" s="7"/>
      <c r="AB162" s="7"/>
    </row>
    <row r="163" s="5" customFormat="1" spans="17:28">
      <c r="Q163" s="214"/>
      <c r="AA163" s="7"/>
      <c r="AB163" s="7"/>
    </row>
    <row r="164" s="5" customFormat="1" spans="17:28">
      <c r="Q164" s="214"/>
      <c r="AA164" s="7"/>
      <c r="AB164" s="7"/>
    </row>
    <row r="165" s="5" customFormat="1" spans="17:28">
      <c r="Q165" s="214"/>
      <c r="AA165" s="7"/>
      <c r="AB165" s="7"/>
    </row>
    <row r="166" s="5" customFormat="1" spans="17:28">
      <c r="Q166" s="214"/>
      <c r="AA166" s="7"/>
      <c r="AB166" s="7"/>
    </row>
    <row r="167" s="5" customFormat="1" spans="17:28">
      <c r="Q167" s="214"/>
      <c r="AA167" s="7"/>
      <c r="AB167" s="7"/>
    </row>
    <row r="168" s="5" customFormat="1" spans="17:28">
      <c r="Q168" s="214"/>
      <c r="AA168" s="7"/>
      <c r="AB168" s="7"/>
    </row>
    <row r="169" s="5" customFormat="1" spans="17:28">
      <c r="Q169" s="214"/>
      <c r="AA169" s="7"/>
      <c r="AB169" s="7"/>
    </row>
    <row r="170" s="5" customFormat="1" spans="17:28">
      <c r="Q170" s="214"/>
      <c r="AA170" s="7"/>
      <c r="AB170" s="7"/>
    </row>
    <row r="171" s="5" customFormat="1" spans="17:28">
      <c r="Q171" s="214"/>
      <c r="AA171" s="7"/>
      <c r="AB171" s="7"/>
    </row>
    <row r="172" s="5" customFormat="1" spans="17:28">
      <c r="Q172" s="214"/>
      <c r="AA172" s="7"/>
      <c r="AB172" s="7"/>
    </row>
    <row r="173" s="5" customFormat="1" spans="17:28">
      <c r="Q173" s="214"/>
      <c r="AA173" s="7"/>
      <c r="AB173" s="7"/>
    </row>
    <row r="174" s="5" customFormat="1" spans="17:28">
      <c r="Q174" s="214"/>
      <c r="AA174" s="7"/>
      <c r="AB174" s="7"/>
    </row>
    <row r="175" s="5" customFormat="1" spans="17:28">
      <c r="Q175" s="214"/>
      <c r="AA175" s="7"/>
      <c r="AB175" s="7"/>
    </row>
    <row r="176" s="5" customFormat="1" spans="17:28">
      <c r="Q176" s="214"/>
      <c r="AA176" s="7"/>
      <c r="AB176" s="7"/>
    </row>
    <row r="177" s="5" customFormat="1" spans="17:28">
      <c r="Q177" s="214"/>
      <c r="AA177" s="7"/>
      <c r="AB177" s="7"/>
    </row>
    <row r="178" s="5" customFormat="1" spans="17:28">
      <c r="Q178" s="214"/>
      <c r="AA178" s="7"/>
      <c r="AB178" s="7"/>
    </row>
    <row r="179" s="5" customFormat="1" spans="17:28">
      <c r="Q179" s="214"/>
      <c r="AA179" s="7"/>
      <c r="AB179" s="7"/>
    </row>
    <row r="180" s="5" customFormat="1" spans="17:28">
      <c r="Q180" s="214"/>
      <c r="AA180" s="7"/>
      <c r="AB180" s="7"/>
    </row>
    <row r="181" s="5" customFormat="1" spans="17:28">
      <c r="Q181" s="214"/>
      <c r="AA181" s="7"/>
      <c r="AB181" s="7"/>
    </row>
    <row r="182" s="5" customFormat="1" spans="17:28">
      <c r="Q182" s="214"/>
      <c r="AA182" s="7"/>
      <c r="AB182" s="7"/>
    </row>
    <row r="183" s="5" customFormat="1" spans="17:28">
      <c r="Q183" s="214"/>
      <c r="AA183" s="7"/>
      <c r="AB183" s="7"/>
    </row>
    <row r="184" s="5" customFormat="1" spans="17:28">
      <c r="Q184" s="214"/>
      <c r="AA184" s="7"/>
      <c r="AB184" s="7"/>
    </row>
    <row r="185" s="5" customFormat="1" spans="17:28">
      <c r="Q185" s="214"/>
      <c r="AA185" s="7"/>
      <c r="AB185" s="7"/>
    </row>
    <row r="186" s="5" customFormat="1" spans="17:28">
      <c r="Q186" s="214"/>
      <c r="AA186" s="7"/>
      <c r="AB186" s="7"/>
    </row>
    <row r="187" s="5" customFormat="1" spans="17:28">
      <c r="Q187" s="214"/>
      <c r="AA187" s="7"/>
      <c r="AB187" s="7"/>
    </row>
    <row r="188" s="5" customFormat="1" spans="17:28">
      <c r="Q188" s="214"/>
      <c r="AA188" s="7"/>
      <c r="AB188" s="7"/>
    </row>
    <row r="189" s="5" customFormat="1" spans="17:28">
      <c r="Q189" s="214"/>
      <c r="AA189" s="7"/>
      <c r="AB189" s="7"/>
    </row>
  </sheetData>
  <mergeCells count="10">
    <mergeCell ref="A9:B9"/>
    <mergeCell ref="E9:G9"/>
    <mergeCell ref="H9:K9"/>
    <mergeCell ref="L9:M9"/>
    <mergeCell ref="N9:T9"/>
    <mergeCell ref="U9:V9"/>
    <mergeCell ref="G71:O71"/>
    <mergeCell ref="Q71:X71"/>
    <mergeCell ref="G94:O94"/>
    <mergeCell ref="G36:G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2026-06-25T05:46:09Z</dcterms:created>
  <dcterms:modified xsi:type="dcterms:W3CDTF">2026-06-25T05:46:42Z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BD93B2E992764CC197E362B81F173AE0_11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